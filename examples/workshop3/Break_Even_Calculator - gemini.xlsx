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y Drive\Projects\Ivey Foundation (AI Training)\Spring 2026\Workshop Slides\Workshop #3\"/>
    </mc:Choice>
  </mc:AlternateContent>
  <xr:revisionPtr revIDLastSave="0" documentId="13_ncr:1_{48D38704-8883-4549-BF8D-83A93E3548D6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2025 Fuel Data" sheetId="1" r:id="rId1"/>
    <sheet name="Break-Even Calculator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2" i="2" l="1"/>
  <c r="B23" i="2" s="1"/>
  <c r="B9" i="2"/>
  <c r="B18" i="2" s="1"/>
  <c r="B8" i="2"/>
  <c r="B17" i="2" s="1"/>
  <c r="B29" i="2" l="1"/>
  <c r="B19" i="2"/>
  <c r="B20" i="2" s="1"/>
  <c r="B30" i="2"/>
  <c r="B21" i="2" l="1"/>
  <c r="B28" i="2" s="1"/>
  <c r="B24" i="2"/>
</calcChain>
</file>

<file path=xl/sharedStrings.xml><?xml version="1.0" encoding="utf-8"?>
<sst xmlns="http://schemas.openxmlformats.org/spreadsheetml/2006/main" count="3356" uniqueCount="1215">
  <si>
    <t>Make_Model</t>
  </si>
  <si>
    <t>Make</t>
  </si>
  <si>
    <t>Model</t>
  </si>
  <si>
    <t>Vehicle class</t>
  </si>
  <si>
    <t>Engine size (L)</t>
  </si>
  <si>
    <t>Cylinders</t>
  </si>
  <si>
    <t>Transmission</t>
  </si>
  <si>
    <t>Fuel type</t>
  </si>
  <si>
    <t>Combined (L/100 km)</t>
  </si>
  <si>
    <t>Combined (mpg)</t>
  </si>
  <si>
    <t>Acura Integra A-SPEC</t>
  </si>
  <si>
    <t>Acura Integra Type S</t>
  </si>
  <si>
    <t>Acura MDX SH-AWD</t>
  </si>
  <si>
    <t>Acura MDX SH-AWD Type S</t>
  </si>
  <si>
    <t>Acura RDX SH-AWD</t>
  </si>
  <si>
    <t>Acura RDX SH-AWD A-SPEC</t>
  </si>
  <si>
    <t>Acura TLX SH-AWD A-SPEC</t>
  </si>
  <si>
    <t>Acura TLX Type S (Performance Tire)</t>
  </si>
  <si>
    <t>Alfa Romeo Giulia</t>
  </si>
  <si>
    <t>Alfa Romeo Giulia AWD</t>
  </si>
  <si>
    <t>Alfa Romeo Stelvio AWD</t>
  </si>
  <si>
    <t>Alfa Romeo Tonale AWD</t>
  </si>
  <si>
    <t>Aston Martin DB12</t>
  </si>
  <si>
    <t>Aston Martin DBX707</t>
  </si>
  <si>
    <t>Aston Martin Vantage</t>
  </si>
  <si>
    <t>Audi A3 40 TFSI quattro</t>
  </si>
  <si>
    <t>Audi A4 45 TFSI quattro</t>
  </si>
  <si>
    <t>Audi A4 allroad 45 TFSI quattro</t>
  </si>
  <si>
    <t>Audi A5 Coupé 45 TFSI quattro</t>
  </si>
  <si>
    <t>Audi A5 Sedan quattro</t>
  </si>
  <si>
    <t>Audi A5 Sportback 45 TFSI quattro</t>
  </si>
  <si>
    <t>Audi A6 45 TFSI quattro</t>
  </si>
  <si>
    <t>Audi A6 55 TFSI quattro</t>
  </si>
  <si>
    <t>Audi A6 allroad 55 TFSI quattro</t>
  </si>
  <si>
    <t>Audi A7 Sportback</t>
  </si>
  <si>
    <t>Audi A8 quattro</t>
  </si>
  <si>
    <t>Audi Q3 40 TFSI quattro</t>
  </si>
  <si>
    <t>Audi Q3 45 TFSI quattro</t>
  </si>
  <si>
    <t>Audi Q5 40 TFSI quattro</t>
  </si>
  <si>
    <t>Audi Q5 45 TFSI quattro</t>
  </si>
  <si>
    <t>Audi Q5 Sportback 45 TFSI quattro</t>
  </si>
  <si>
    <t>Audi All-new Q5 TFSI quattro</t>
  </si>
  <si>
    <t>Audi All-new Q5 Sportback TFSI quattro</t>
  </si>
  <si>
    <t>Audi Q7 45 TFSI quattro</t>
  </si>
  <si>
    <t>Audi Q7 55 TFSI quattro</t>
  </si>
  <si>
    <t>Audi RS 3</t>
  </si>
  <si>
    <t>Audi RS 5 Coupé</t>
  </si>
  <si>
    <t>Audi RS 5 Sportback</t>
  </si>
  <si>
    <t>Audi RS 6 Avant quattro performance</t>
  </si>
  <si>
    <t>Audi RS 6 Avant GT</t>
  </si>
  <si>
    <t>Audi RS 7 Sportback quattro performance</t>
  </si>
  <si>
    <t>Audi RS Q8 performance</t>
  </si>
  <si>
    <t>Audi S3 quattro</t>
  </si>
  <si>
    <t>Audi S4 quattro</t>
  </si>
  <si>
    <t>Audi S5 Coupé quattro</t>
  </si>
  <si>
    <t>Audi S5 Sedan quattro</t>
  </si>
  <si>
    <t>Audi S5 Sportback quattro</t>
  </si>
  <si>
    <t>Audi S6 quattro</t>
  </si>
  <si>
    <t>Audi S7 quattro</t>
  </si>
  <si>
    <t>Audi S8 quattro</t>
  </si>
  <si>
    <t>Audi SQ5 quattro</t>
  </si>
  <si>
    <t>Audi SQ5 Sportback quattro</t>
  </si>
  <si>
    <t>Audi All-new SQ5 quattro</t>
  </si>
  <si>
    <t>Audi All-new SQ5 Sportback quattro</t>
  </si>
  <si>
    <t>Audi SQ7 quattro</t>
  </si>
  <si>
    <t>Audi SQ8 quattro</t>
  </si>
  <si>
    <t>Bentley Bentayga</t>
  </si>
  <si>
    <t>Bentley Bentayga EWB</t>
  </si>
  <si>
    <t>BMW 230i xDrive Coupe</t>
  </si>
  <si>
    <t>BMW 330i xDrive Sedan</t>
  </si>
  <si>
    <t>BMW 430i xDrive Cabriolet</t>
  </si>
  <si>
    <t>BMW 430i xDrive Coupe</t>
  </si>
  <si>
    <t>BMW 530i xDrive Sedan</t>
  </si>
  <si>
    <t>BMW 760i xDrive Sedan</t>
  </si>
  <si>
    <t>BMW ALPINA XB7</t>
  </si>
  <si>
    <t>BMW M2 Coupe</t>
  </si>
  <si>
    <t>BMW M240i xDrive Coupe</t>
  </si>
  <si>
    <t>BMW M3 Sedan</t>
  </si>
  <si>
    <t>BMW M3 Competition Sedan</t>
  </si>
  <si>
    <t>BMW M3 Competition M xDrive Sedan</t>
  </si>
  <si>
    <t>BMW M340i xDrive Sedan</t>
  </si>
  <si>
    <t>BMW M4 Coupe</t>
  </si>
  <si>
    <t>BMW M4 Competition Coupe</t>
  </si>
  <si>
    <t>BMW M4 Competition M xDrive Cabriolet</t>
  </si>
  <si>
    <t>BMW M4 Competition M xDrive Coupe</t>
  </si>
  <si>
    <t>BMW M4 CS Coupe</t>
  </si>
  <si>
    <t>BMW M440i xDrive Cabriolet</t>
  </si>
  <si>
    <t>BMW M440i xDrive Coupe</t>
  </si>
  <si>
    <t>BMW M8 Competition Cabriolet</t>
  </si>
  <si>
    <t>BMW M8 Competition Coupe</t>
  </si>
  <si>
    <t>BMW M8 Competition Gran Coupe</t>
  </si>
  <si>
    <t>BMW M850i xDrive Cabriolet</t>
  </si>
  <si>
    <t>BMW M850i xDrive Coupe</t>
  </si>
  <si>
    <t>BMW M850i xDrive Gran Coupe</t>
  </si>
  <si>
    <t>BMW X1 xDrive28i</t>
  </si>
  <si>
    <t>BMW X1 M35i</t>
  </si>
  <si>
    <t>BMW X2 xDrive28i</t>
  </si>
  <si>
    <t>BMW X2 M35i</t>
  </si>
  <si>
    <t>BMW X3 xDrive30i</t>
  </si>
  <si>
    <t>BMW X3 M50i xDrive</t>
  </si>
  <si>
    <t>BMW X4 xDrive30i</t>
  </si>
  <si>
    <t>BMW X4 M</t>
  </si>
  <si>
    <t>BMW X4 M Competition</t>
  </si>
  <si>
    <t>BMW X4 M40i xDrive</t>
  </si>
  <si>
    <t>BMW X5 xDrive40i</t>
  </si>
  <si>
    <t>BMW X5 M Competition</t>
  </si>
  <si>
    <t>BMW X5 M60i xDrive</t>
  </si>
  <si>
    <t>BMW X6 xDrive40i</t>
  </si>
  <si>
    <t>BMW X6 M Competition</t>
  </si>
  <si>
    <t>BMW X6 M60i xDrive</t>
  </si>
  <si>
    <t>BMW X7 xDrive40i</t>
  </si>
  <si>
    <t>BMW X7 M60i xDrive</t>
  </si>
  <si>
    <t>BMW Z4 sDrive30i</t>
  </si>
  <si>
    <t>BMW Z4 M40i</t>
  </si>
  <si>
    <t>Bugatti Mistral</t>
  </si>
  <si>
    <t>Buick Enclave AWD</t>
  </si>
  <si>
    <t>Buick Encore GX</t>
  </si>
  <si>
    <t>Buick Encore GX AWD</t>
  </si>
  <si>
    <t>Buick Envision AWD</t>
  </si>
  <si>
    <t>Buick Envista</t>
  </si>
  <si>
    <t>Cadillac CT4</t>
  </si>
  <si>
    <t>Cadillac CT4 AWD</t>
  </si>
  <si>
    <t>Cadillac CT4-V</t>
  </si>
  <si>
    <t>Cadillac CT4-V AWD</t>
  </si>
  <si>
    <t>Cadillac CT5</t>
  </si>
  <si>
    <t>Cadillac CT5 AWD</t>
  </si>
  <si>
    <t>Cadillac CT5-V</t>
  </si>
  <si>
    <t>Cadillac CT5-V AWD</t>
  </si>
  <si>
    <t>Cadillac Escalade 4WD</t>
  </si>
  <si>
    <t>Cadillac Escalade-V AWD</t>
  </si>
  <si>
    <t>Cadillac XT4 AWD</t>
  </si>
  <si>
    <t>Cadillac XT5</t>
  </si>
  <si>
    <t>Cadillac XT5 AWD</t>
  </si>
  <si>
    <t>Cadillac XT6 AWD</t>
  </si>
  <si>
    <t>Chevrolet Blazer AWD</t>
  </si>
  <si>
    <t>Chevrolet Colorado</t>
  </si>
  <si>
    <t>Chevrolet Colorado 4WD</t>
  </si>
  <si>
    <t>Chevrolet Colorado 4WD Mud Terrain Tire</t>
  </si>
  <si>
    <t>Chevrolet Colorado ZR2 4WD</t>
  </si>
  <si>
    <t>Chevrolet Colorado ZR2 Bison 4WD</t>
  </si>
  <si>
    <t>Chevrolet Corvette</t>
  </si>
  <si>
    <t>Chevrolet Corvette E-Ray</t>
  </si>
  <si>
    <t>Chevrolet Corvette Z06</t>
  </si>
  <si>
    <t>Chevrolet Corvette Z06 Carbon Aero</t>
  </si>
  <si>
    <t>Chevrolet Corvette ZR1</t>
  </si>
  <si>
    <t>Chevrolet Equinox</t>
  </si>
  <si>
    <t>Chevrolet Equinox AWD</t>
  </si>
  <si>
    <t>Chevrolet Malibu</t>
  </si>
  <si>
    <t>Chevrolet Silverado</t>
  </si>
  <si>
    <t>Chevrolet Silverado 4WD</t>
  </si>
  <si>
    <t>Chevrolet Silverado 4WD Mud Terrain Tire</t>
  </si>
  <si>
    <t>Chevrolet Silverado 4WD (With Sport Mode)</t>
  </si>
  <si>
    <t>Chevrolet Silverado 4WD FFV</t>
  </si>
  <si>
    <t>Chevrolet Silverado 4WD ZR2</t>
  </si>
  <si>
    <t>Chevrolet Suburban</t>
  </si>
  <si>
    <t>Chevrolet Suburban 4WD</t>
  </si>
  <si>
    <t>Chevrolet Tahoe</t>
  </si>
  <si>
    <t>Chevrolet Tahoe 4WD</t>
  </si>
  <si>
    <t>Chevrolet Trailblazer</t>
  </si>
  <si>
    <t>Chevrolet Trailblazer AWD</t>
  </si>
  <si>
    <t>Chevrolet Traverse AWD</t>
  </si>
  <si>
    <t>Chevrolet Trax</t>
  </si>
  <si>
    <t>Chrysler Grand Caravan</t>
  </si>
  <si>
    <t>Chrysler Pacifica</t>
  </si>
  <si>
    <t>Chrysler Pacifica AWD</t>
  </si>
  <si>
    <t>Dodge Durango AWD</t>
  </si>
  <si>
    <t>Dodge Durango AWD SRT Hellcat</t>
  </si>
  <si>
    <t>Dodge Hornet AWD</t>
  </si>
  <si>
    <t>Ferrari 12Cilindri</t>
  </si>
  <si>
    <t>Ferrari 12Cilindri Spider</t>
  </si>
  <si>
    <t>Ferrari Daytona SP3</t>
  </si>
  <si>
    <t>Ferrari Purosangue</t>
  </si>
  <si>
    <t>Ferrari Roma Spider</t>
  </si>
  <si>
    <t>Ford Bronco 4WD</t>
  </si>
  <si>
    <t>Ford Bronco 4WD (With Sport Mode)</t>
  </si>
  <si>
    <t>Ford Bronco Badlands 4WD</t>
  </si>
  <si>
    <t>Ford Bronco Outer Banks 4WD</t>
  </si>
  <si>
    <t>Ford Bronco Sasquatch 4WD</t>
  </si>
  <si>
    <t>Ford Bronco Sport 4WD</t>
  </si>
  <si>
    <t>Ford Bronco Sport Sasquatch</t>
  </si>
  <si>
    <t>Ford Escape</t>
  </si>
  <si>
    <t>Ford Escape AWD</t>
  </si>
  <si>
    <t>Ford Escape Hybrid</t>
  </si>
  <si>
    <t>Ford Escape Hybrid AWD</t>
  </si>
  <si>
    <t>Ford Expedition 4WD</t>
  </si>
  <si>
    <t>Ford Explorer AWD</t>
  </si>
  <si>
    <t>Ford F-150</t>
  </si>
  <si>
    <t>Ford F-150 4X4</t>
  </si>
  <si>
    <t>Ford F-150 Hybrid 4X4</t>
  </si>
  <si>
    <t>Ford F-150 Tremor 4X4</t>
  </si>
  <si>
    <t>Ford F-150 Raptor 4X4</t>
  </si>
  <si>
    <t>Ford F-150 Raptor R 4X4</t>
  </si>
  <si>
    <t>Ford Maverick AWD</t>
  </si>
  <si>
    <t>Ford Maverick Lobo</t>
  </si>
  <si>
    <t>Ford Maverick Tremor AWD</t>
  </si>
  <si>
    <t>Ford Maverick Hybrid</t>
  </si>
  <si>
    <t>Ford Maverick Hybrid AWD</t>
  </si>
  <si>
    <t>Ford Mustang</t>
  </si>
  <si>
    <t>Ford Mustang Dark Horse</t>
  </si>
  <si>
    <t>Ford Mustang GTD</t>
  </si>
  <si>
    <t>Ford Ranger 4WD</t>
  </si>
  <si>
    <t>Ford Ranger Raptor 4WD</t>
  </si>
  <si>
    <t>Genesis G70 AWD</t>
  </si>
  <si>
    <t>Genesis G80 AWD</t>
  </si>
  <si>
    <t>Genesis G90</t>
  </si>
  <si>
    <t>Genesis GV70 AWD</t>
  </si>
  <si>
    <t>Genesis GV80</t>
  </si>
  <si>
    <t>Genesis GV80 AWD</t>
  </si>
  <si>
    <t>GMC Acadia AWD</t>
  </si>
  <si>
    <t>GMC Canyon</t>
  </si>
  <si>
    <t>GMC Canyon 4WD</t>
  </si>
  <si>
    <t>GMC Canyon AT4X 4WD</t>
  </si>
  <si>
    <t>GMC Canyon AT4X AEV 4WD</t>
  </si>
  <si>
    <t>GMC Sierra</t>
  </si>
  <si>
    <t>GMC Sierra 4WD</t>
  </si>
  <si>
    <t>GMC Sierra 4WD (With Sport Mode)</t>
  </si>
  <si>
    <t>GMC Sierra 4WD Mud Terrain Tire</t>
  </si>
  <si>
    <t>GMC Sierra 4WD FFV</t>
  </si>
  <si>
    <t>GMC Sierra 4WD AT4X</t>
  </si>
  <si>
    <t>GMC Terrain</t>
  </si>
  <si>
    <t>GMC Terrain AWD</t>
  </si>
  <si>
    <t>GMC Yukon</t>
  </si>
  <si>
    <t>GMC Yukon 4WD</t>
  </si>
  <si>
    <t>GMC Yukon XL</t>
  </si>
  <si>
    <t>GMC Yukon XL 4WD</t>
  </si>
  <si>
    <t>Honda Accord</t>
  </si>
  <si>
    <t>Honda Accord Hybrid Sport/Touring</t>
  </si>
  <si>
    <t>Honda Civic Hatchback</t>
  </si>
  <si>
    <t>Honda Civic Hatchback Hybrid</t>
  </si>
  <si>
    <t>Honda Civic Sedan</t>
  </si>
  <si>
    <t>Honda Civic Sedan Hybrid</t>
  </si>
  <si>
    <t>Honda Civic Sedan Si</t>
  </si>
  <si>
    <t>Honda Civic Type R</t>
  </si>
  <si>
    <t>Honda CR-V</t>
  </si>
  <si>
    <t>Honda CR-V AWD</t>
  </si>
  <si>
    <t>Honda CR-V Hybrid AWD</t>
  </si>
  <si>
    <t>Honda HR-V</t>
  </si>
  <si>
    <t>Honda HR-V AWD</t>
  </si>
  <si>
    <t>Honda Odyssey</t>
  </si>
  <si>
    <t>Honda Passport AWD</t>
  </si>
  <si>
    <t>Honda Pilot AWD</t>
  </si>
  <si>
    <t>Honda Pilot AWD Touring/Elite/Black</t>
  </si>
  <si>
    <t>Honda Pilot AWD TrailSport</t>
  </si>
  <si>
    <t>Honda Ridgeline AWD</t>
  </si>
  <si>
    <t>Honda Ridgeline AWD TrailSport</t>
  </si>
  <si>
    <t>Hyundai Elantra</t>
  </si>
  <si>
    <t>Hyundai Elantra (Stop/Start)</t>
  </si>
  <si>
    <t>Hyundai Elantra Hybrid</t>
  </si>
  <si>
    <t>Hyundai Elantra N</t>
  </si>
  <si>
    <t>Hyundai Kona</t>
  </si>
  <si>
    <t>Hyundai Kona (Stop/Start)</t>
  </si>
  <si>
    <t>Hyundai Kona AWD</t>
  </si>
  <si>
    <t>Hyundai Kona AWD (Stop/Start)</t>
  </si>
  <si>
    <t>Hyundai Palisade AWD</t>
  </si>
  <si>
    <t>Hyundai Santa Cruz AWD</t>
  </si>
  <si>
    <t>Hyundai Santa Cruz AWD XRT</t>
  </si>
  <si>
    <t>Hyundai Santa Fe AWD</t>
  </si>
  <si>
    <t>Hyundai Santa Fe AWD XRT</t>
  </si>
  <si>
    <t>Hyundai Santa Fe Hybrid AWD</t>
  </si>
  <si>
    <t>Hyundai Sonata</t>
  </si>
  <si>
    <t>Hyundai Sonata AWD</t>
  </si>
  <si>
    <t>Hyundai Sonata Hybrid</t>
  </si>
  <si>
    <t>Hyundai Tucson AWD</t>
  </si>
  <si>
    <t>Hyundai Tucson Hybrid</t>
  </si>
  <si>
    <t>Hyundai Venue</t>
  </si>
  <si>
    <t>Infiniti QX50 AWD</t>
  </si>
  <si>
    <t>Infiniti QX55 AWD</t>
  </si>
  <si>
    <t>Infiniti QX60 AWD</t>
  </si>
  <si>
    <t>Infiniti QX80 4WD</t>
  </si>
  <si>
    <t>Jaguar F-Pace P250</t>
  </si>
  <si>
    <t>Jaguar F-Pace P400</t>
  </si>
  <si>
    <t>Jaguar F-Pace P550 SVR</t>
  </si>
  <si>
    <t>Jeep Compass 4X4</t>
  </si>
  <si>
    <t>Jeep Gladiator 4X4</t>
  </si>
  <si>
    <t>Jeep Grand Cherokee 4X4</t>
  </si>
  <si>
    <t>Jeep Grand Cherokee L 4X4</t>
  </si>
  <si>
    <t>Jeep Grand Wagoneer 4X4 (High Output)</t>
  </si>
  <si>
    <t>Jeep Grand Wagoneer L 4X4 (High Output)</t>
  </si>
  <si>
    <t>Jeep Wagoneer 4X4</t>
  </si>
  <si>
    <t>Jeep Wagoneer L 4X4</t>
  </si>
  <si>
    <t>Jeep Wrangler JL 4X4</t>
  </si>
  <si>
    <t>Jeep Wrangler JL Unlimited 4X4</t>
  </si>
  <si>
    <t>Kia Carnival</t>
  </si>
  <si>
    <t>Kia Carnival Hybrid</t>
  </si>
  <si>
    <t>Kia K4</t>
  </si>
  <si>
    <t>Kia K4 (Without DMS)</t>
  </si>
  <si>
    <t>Kia Niro</t>
  </si>
  <si>
    <t>Kia Niro FE</t>
  </si>
  <si>
    <t>Kia Seltos</t>
  </si>
  <si>
    <t>Kia Seltos AWD</t>
  </si>
  <si>
    <t>Kia Sorento AWD</t>
  </si>
  <si>
    <t>Kia Sorento Hybrid AWD</t>
  </si>
  <si>
    <t>Kia Soul</t>
  </si>
  <si>
    <t>Kia Sportage</t>
  </si>
  <si>
    <t>Kia Sportage AWD</t>
  </si>
  <si>
    <t>Kia Sportage Hybrid AWD</t>
  </si>
  <si>
    <t>Kia Telluride AWD</t>
  </si>
  <si>
    <t>Land Rover Defender 90 P300</t>
  </si>
  <si>
    <t>Land Rover Defender 110 P300</t>
  </si>
  <si>
    <t>Land Rover Discovery P300</t>
  </si>
  <si>
    <t>Land Rover Discovery P360</t>
  </si>
  <si>
    <t>Land Rover Discovery Sport P250</t>
  </si>
  <si>
    <t>Land Rover Range Rover P530</t>
  </si>
  <si>
    <t>Land Rover Range Rover P530 LWB</t>
  </si>
  <si>
    <t>Land Rover Range Rover SV P615</t>
  </si>
  <si>
    <t>Land Rover Range Rover SV P615 LWB</t>
  </si>
  <si>
    <t>Land Rover Range Rover Sport P530</t>
  </si>
  <si>
    <t>Land Rover Range Rover Sport SV P635</t>
  </si>
  <si>
    <t>Land Rover Range Rover Evoque P250</t>
  </si>
  <si>
    <t>Land Rover Range Rover Velar P250</t>
  </si>
  <si>
    <t>Land Rover Range Rover Velar P340</t>
  </si>
  <si>
    <t>Land Rover Range Rover Velar P400</t>
  </si>
  <si>
    <t>Lexus ES 250 AWD</t>
  </si>
  <si>
    <t>Lexus ES 300h</t>
  </si>
  <si>
    <t>Lexus ES 350</t>
  </si>
  <si>
    <t>Lexus ES 350 F SPORT</t>
  </si>
  <si>
    <t>Lexus GX 550</t>
  </si>
  <si>
    <t>Lexus IS 300 AWD</t>
  </si>
  <si>
    <t>Lexus IS 350 AWD</t>
  </si>
  <si>
    <t>Lexus IS 500</t>
  </si>
  <si>
    <t>Lexus LC 500</t>
  </si>
  <si>
    <t>Lexus LC 500 Convertible</t>
  </si>
  <si>
    <t>Lexus LC 500h</t>
  </si>
  <si>
    <t>Lexus LS 500 AWD</t>
  </si>
  <si>
    <t>Lexus LS 500h AWD</t>
  </si>
  <si>
    <t>Lexus LX 600</t>
  </si>
  <si>
    <t>Lexus LX 700h</t>
  </si>
  <si>
    <t>Lexus NX 250 AWD</t>
  </si>
  <si>
    <t>Lexus NX 350 AWD</t>
  </si>
  <si>
    <t>Lexus NX 350 AWD F SPORT</t>
  </si>
  <si>
    <t>Lexus NX 350h AWD</t>
  </si>
  <si>
    <t>Lexus RC 300 AWD</t>
  </si>
  <si>
    <t>Lexus RC 350 AWD</t>
  </si>
  <si>
    <t>Lexus RC F</t>
  </si>
  <si>
    <t>Lexus RX 350 AWD</t>
  </si>
  <si>
    <t>Lexus RX 350h AWD</t>
  </si>
  <si>
    <t>Lexus RX 500h AWD</t>
  </si>
  <si>
    <t>Lexus TX 350 AWD</t>
  </si>
  <si>
    <t>Lexus TX 500h AWD</t>
  </si>
  <si>
    <t>Lexus UX 300h AWD</t>
  </si>
  <si>
    <t>Lincoln Aviator AWD</t>
  </si>
  <si>
    <t>Lincoln Corsair AWD</t>
  </si>
  <si>
    <t>Lincoln Nautilus AWD</t>
  </si>
  <si>
    <t>Lincoln Nautilus Hybrid AWD</t>
  </si>
  <si>
    <t>Lincoln Navigator 4WD</t>
  </si>
  <si>
    <t>Mazda CX-30 4WD</t>
  </si>
  <si>
    <t>Mazda CX-30 Turbo 4WD</t>
  </si>
  <si>
    <t>Mazda CX-5 4WD</t>
  </si>
  <si>
    <t>Mazda CX-5 4WD (Cylinder Deactivation)</t>
  </si>
  <si>
    <t>Mazda CX-5 Turbo 4WD</t>
  </si>
  <si>
    <t>Mazda CX-50 4WD</t>
  </si>
  <si>
    <t>Mazda CX-50 Turbo 4WD</t>
  </si>
  <si>
    <t>Mazda CX-50 Hybrid 4WD</t>
  </si>
  <si>
    <t>Mazda CX-70 4WD</t>
  </si>
  <si>
    <t>Mazda CX-70 4WD (High Power)</t>
  </si>
  <si>
    <t>Mazda CX-90 4WD</t>
  </si>
  <si>
    <t>Mazda CX-90 4WD (High Power)</t>
  </si>
  <si>
    <t>Mazda Mazda3 4-Door</t>
  </si>
  <si>
    <t>Mazda Mazda3 4-Door 4WD</t>
  </si>
  <si>
    <t>Mazda Mazda3 4-Door Turbo 4WD</t>
  </si>
  <si>
    <t>Mazda Mazda3 5-Door</t>
  </si>
  <si>
    <t>Mazda Mazda3 5-Door (SIL)</t>
  </si>
  <si>
    <t>Mazda Mazda3 5-Door 4WD</t>
  </si>
  <si>
    <t>Mazda Mazda3 5-Door Turbo 4WD</t>
  </si>
  <si>
    <t>Mazda MX-5</t>
  </si>
  <si>
    <t>Mazda MX-5 (SIL)</t>
  </si>
  <si>
    <t>Mercedes-Benz AMG C 43 4MATIC Sedan</t>
  </si>
  <si>
    <t>Mercedes-Benz AMG CLA 35 4MATIC Coupe</t>
  </si>
  <si>
    <t>Mercedes-Benz AMG CLA 45 S 4MATIC Coupe</t>
  </si>
  <si>
    <t>Mercedes-Benz AMG CLE 53 4MATIC+ Cabriolet</t>
  </si>
  <si>
    <t>Mercedes-Benz AMG CLE 53 4MATIC+ Coupe</t>
  </si>
  <si>
    <t>Mercedes-Benz AMG G 63 SUV</t>
  </si>
  <si>
    <t>Mercedes-Benz AMG GLA 35 4MATIC Coupe</t>
  </si>
  <si>
    <t>Mercedes-Benz AMG GLB 35 4MATIC Coupe</t>
  </si>
  <si>
    <t>Mercedes-Benz AMG GLC 43 4MATIC+ SUV</t>
  </si>
  <si>
    <t>Mercedes-Benz AMG GLC 43 4MATIC Coupe</t>
  </si>
  <si>
    <t>Mercedes-Benz AMG GLE 53 4MATIC+ SUV</t>
  </si>
  <si>
    <t>Mercedes-Benz AMG GLE 53 4MATIC+ Coupe</t>
  </si>
  <si>
    <t>Mercedes-Benz AMG GLE 63 S 4MATIC+ SUV</t>
  </si>
  <si>
    <t>Mercedes-Benz AMG GLE 63 S 4MATIC+ Coupe</t>
  </si>
  <si>
    <t>Mercedes-Benz AMG GLS 63 4MATIC+ SUV</t>
  </si>
  <si>
    <t xml:space="preserve">Mercedes-Benz AMG GT 53 4MATIC+ </t>
  </si>
  <si>
    <t>Mercedes-Benz AMG GT 55 4MATIC+ Coupe</t>
  </si>
  <si>
    <t>Mercedes-Benz AMG GT 63 4MATIC+</t>
  </si>
  <si>
    <t>Mercedes-Benz AMG GT 63 4MATIC+ Coupe</t>
  </si>
  <si>
    <t>Mercedes-Benz AMG GT 63 PRO 4MATIC+ Coupe</t>
  </si>
  <si>
    <t>Mercedes-Benz AMG SL 43 4MATIC Roadster</t>
  </si>
  <si>
    <t>Mercedes-Benz AMG SL 55 4MATIC+ Roadster</t>
  </si>
  <si>
    <t>Mercedes-Benz AMG SL 63 4MATIC+ Roadster</t>
  </si>
  <si>
    <t>Mercedes-Benz C 300 4MATIC Sedan</t>
  </si>
  <si>
    <t>Mercedes-Benz CLA 250 4MATIC Coupe</t>
  </si>
  <si>
    <t>Mercedes-Benz CLE 300 4MATIC Cabriolet</t>
  </si>
  <si>
    <t>Mercedes-Benz CLE 300 4MATIC Coupe</t>
  </si>
  <si>
    <t>Mercedes-Benz CLE 450 4MATIC Cabriolet</t>
  </si>
  <si>
    <t>Mercedes-Benz CLE 450 4MATIC Coupe</t>
  </si>
  <si>
    <t>Mercedes-Benz E 350 4MATIC Sedan</t>
  </si>
  <si>
    <t>Mercedes-Benz E 450 4MATIC Sedan</t>
  </si>
  <si>
    <t>Mercedes-Benz G 550 SUV</t>
  </si>
  <si>
    <t>Mercedes-Benz GLA 250 4MATIC SUV</t>
  </si>
  <si>
    <t>Mercedes-Benz GLB 250 4MATIC SUV</t>
  </si>
  <si>
    <t>Mercedes-Benz GLC 300 4MATIC SUV</t>
  </si>
  <si>
    <t>Mercedes-Benz GLC 300 4MATIC Coupe</t>
  </si>
  <si>
    <t>Mercedes-Benz GLE 350 4MATIC SUV</t>
  </si>
  <si>
    <t>Mercedes-Benz GLE 450 4MATIC SUV</t>
  </si>
  <si>
    <t>Mercedes-Benz GLE 450 4MATIC Coupe</t>
  </si>
  <si>
    <t>Mercedes-Benz GLS 450 4MATIC SUV</t>
  </si>
  <si>
    <t>Mercedes-Benz GLS 580 4MATIC SUV</t>
  </si>
  <si>
    <t>Mercedes-Benz GLS 600 4MATIC Maybach SUV</t>
  </si>
  <si>
    <t>Mercedes-Benz Maybach S 580 4MATIC Sedan</t>
  </si>
  <si>
    <t>Mercedes-Benz Maybach S 680 4MATIC Sedan</t>
  </si>
  <si>
    <t>Mercedes-Benz S 500 4MATIC Sedan</t>
  </si>
  <si>
    <t>Mercedes-Benz S 580 4MATIC Sedan</t>
  </si>
  <si>
    <t>MINI Cooper 3 Door</t>
  </si>
  <si>
    <t>MINI Cooper 5 Door</t>
  </si>
  <si>
    <t>MINI Cooper Convertible</t>
  </si>
  <si>
    <t>MINI Cooper S 3 Door</t>
  </si>
  <si>
    <t>MINI Cooper S 5 Door</t>
  </si>
  <si>
    <t>MINI Cooper S Convertible</t>
  </si>
  <si>
    <t>MINI Cooper S Countryman ALL4</t>
  </si>
  <si>
    <t>MINI John Cooper Works 3 Door</t>
  </si>
  <si>
    <t>MINI John Cooper Works Convertible</t>
  </si>
  <si>
    <t>MINI John Cooper Works Countryman ALL4</t>
  </si>
  <si>
    <t>Mitsubishi Eclipse Cross 4WD</t>
  </si>
  <si>
    <t>Mitsubishi Outlander 4WD</t>
  </si>
  <si>
    <t>Mitsubishi RVR</t>
  </si>
  <si>
    <t>Mitsubishi RVR 4WD</t>
  </si>
  <si>
    <t>Nissan Altima AWD</t>
  </si>
  <si>
    <t>Nissan Altima AWD SR/Platinum</t>
  </si>
  <si>
    <t>Nissan Armada 4WD</t>
  </si>
  <si>
    <t>Nissan Armada 4WD PRO-4X</t>
  </si>
  <si>
    <t>Nissan Frontier</t>
  </si>
  <si>
    <t>Nissan Frontier 4WD</t>
  </si>
  <si>
    <t>Nissan Frontier 4WD PRO-4X</t>
  </si>
  <si>
    <t>Nissan Kicks</t>
  </si>
  <si>
    <t>Nissan Kicks AWD</t>
  </si>
  <si>
    <t>Nissan Kicks Play</t>
  </si>
  <si>
    <t>Nissan Murano AWD</t>
  </si>
  <si>
    <t>Nissan Pathfinder 4WD</t>
  </si>
  <si>
    <t>Nissan Pathfinder 4WD Rock Creek</t>
  </si>
  <si>
    <t>Nissan Rogue</t>
  </si>
  <si>
    <t>Nissan Rogue AWD</t>
  </si>
  <si>
    <t>Nissan Sentra</t>
  </si>
  <si>
    <t>Nissan Sentra SR</t>
  </si>
  <si>
    <t>Nissan Versa</t>
  </si>
  <si>
    <t>Nissan Z</t>
  </si>
  <si>
    <t>Nissan Z NISMO</t>
  </si>
  <si>
    <t>Porsche 718 Boxster</t>
  </si>
  <si>
    <t>Porsche 718 Boxster S</t>
  </si>
  <si>
    <t>Porsche 718 Boxster GTS</t>
  </si>
  <si>
    <t>Porsche 718 Cayman</t>
  </si>
  <si>
    <t>Porsche 718 Cayman S</t>
  </si>
  <si>
    <t>Porsche 718 Cayman GTS</t>
  </si>
  <si>
    <t>Porsche 911 Carrera</t>
  </si>
  <si>
    <t>Porsche 911 Carrera Cabriolet</t>
  </si>
  <si>
    <t>Porsche 911 GT3 RS</t>
  </si>
  <si>
    <t>Porsche 911 Turbo</t>
  </si>
  <si>
    <t>Porsche 911 Turbo Cabriolet</t>
  </si>
  <si>
    <t>Porsche 911 Turbo S</t>
  </si>
  <si>
    <t>Porsche 911 Turbo S Cabriolet</t>
  </si>
  <si>
    <t>Porsche Cayenne</t>
  </si>
  <si>
    <t>Porsche Cayenne Coupe</t>
  </si>
  <si>
    <t>Porsche Cayenne S</t>
  </si>
  <si>
    <t>Porsche Cayenne S Coupe</t>
  </si>
  <si>
    <t>Porsche Cayenne Turbo GT Coupe</t>
  </si>
  <si>
    <t>Porsche Macan</t>
  </si>
  <si>
    <t>Porsche Macan T</t>
  </si>
  <si>
    <t>Porsche Macan S</t>
  </si>
  <si>
    <t>Porsche Macan GTS</t>
  </si>
  <si>
    <t>Porsche Panamera</t>
  </si>
  <si>
    <t>Porsche Panamera 4</t>
  </si>
  <si>
    <t>Porsche Panamera GTS</t>
  </si>
  <si>
    <t>Ram 1500</t>
  </si>
  <si>
    <t>Ram 1500 eTorque</t>
  </si>
  <si>
    <t>Ram 1500 4X4</t>
  </si>
  <si>
    <t>Ram 1500 4X4 eTorque</t>
  </si>
  <si>
    <t>Ram 1500 4X4 HO</t>
  </si>
  <si>
    <t>Ram 1500 4X4 RHO</t>
  </si>
  <si>
    <t>Rolls-Royce Cullinan</t>
  </si>
  <si>
    <t>Rolls-Royce Black Badge Cullinan</t>
  </si>
  <si>
    <t>Rolls-Royce Ghost</t>
  </si>
  <si>
    <t>Rolls-Royce Black Badge Ghost</t>
  </si>
  <si>
    <t>Rolls-Royce Ghost Extended</t>
  </si>
  <si>
    <t>Rolls-Royce Phantom</t>
  </si>
  <si>
    <t>Rolls-Royce Phantom Extended</t>
  </si>
  <si>
    <t>Subaru Ascent AWD</t>
  </si>
  <si>
    <t>Subaru BRZ</t>
  </si>
  <si>
    <t>Subaru Crosstrek AWD</t>
  </si>
  <si>
    <t>Subaru Crosstrek Wilderness AWD</t>
  </si>
  <si>
    <t>Subaru Forester AWD</t>
  </si>
  <si>
    <t>Subaru Forester Wilderness AWD</t>
  </si>
  <si>
    <t>Subaru Forester e-BOXER Hybrid AWD</t>
  </si>
  <si>
    <t>Subaru Impreza AWD</t>
  </si>
  <si>
    <t>Subaru Outback AWD</t>
  </si>
  <si>
    <t>Subaru Outback Wilderness AWD</t>
  </si>
  <si>
    <t>Subaru WRX AWD</t>
  </si>
  <si>
    <t>Toyota 4Runner 4WD (Part-Time 4WD)</t>
  </si>
  <si>
    <t>Toyota 4Runner 4WD Limited</t>
  </si>
  <si>
    <t>Toyota 4Runner Hybrid 4WD (Part-Time 4WD)</t>
  </si>
  <si>
    <t>Toyota 4Runner Hybrid 4WD Platinum</t>
  </si>
  <si>
    <t>Toyota Camry</t>
  </si>
  <si>
    <t>Toyota Camry AWD SE/XLE</t>
  </si>
  <si>
    <t>Toyota Camry AWD XSE</t>
  </si>
  <si>
    <t>Toyota Corolla (1-mode)</t>
  </si>
  <si>
    <t>Toyota Corolla (3-mode)</t>
  </si>
  <si>
    <t>Toyota Corolla Hatchback</t>
  </si>
  <si>
    <t>Toyota Corolla Hybrid</t>
  </si>
  <si>
    <t>Toyota Corolla Hybrid AWD (2-mode)</t>
  </si>
  <si>
    <t>Toyota Corolla Hybrid AWD (3-mode)</t>
  </si>
  <si>
    <t>Toyota Corolla Cross</t>
  </si>
  <si>
    <t>Toyota Corolla Cross AWD</t>
  </si>
  <si>
    <t>Toyota Corolla Cross Hybrid AWD</t>
  </si>
  <si>
    <t>Toyota Crown AWD</t>
  </si>
  <si>
    <t>Toyota Crown Signia AWD</t>
  </si>
  <si>
    <t>Toyota GR Corolla</t>
  </si>
  <si>
    <t>Toyota GR Supra 3.0</t>
  </si>
  <si>
    <t>Toyota GR86</t>
  </si>
  <si>
    <t>Toyota Grand Highlander AWD Limited</t>
  </si>
  <si>
    <t>Toyota Grand Highlander AWD XLE</t>
  </si>
  <si>
    <t>Toyota Grand Highlander Hybrid AWD</t>
  </si>
  <si>
    <t>Toyota Grand Highlander Hybrid MAX AWD</t>
  </si>
  <si>
    <t>Toyota Highlander AWD</t>
  </si>
  <si>
    <t>Toyota Highlander Hybrid AWD</t>
  </si>
  <si>
    <t>Toyota Highlander Hybrid AWD Limited/Platinum</t>
  </si>
  <si>
    <t>Toyota Land Cruiser</t>
  </si>
  <si>
    <t>Toyota Prius AWD</t>
  </si>
  <si>
    <t>Toyota RAV4 AWD</t>
  </si>
  <si>
    <t>Toyota RAV4 AWD (Stop/Start)</t>
  </si>
  <si>
    <t>Toyota RAV4 AWD LE</t>
  </si>
  <si>
    <t>Toyota RAV4 Hybrid AWD</t>
  </si>
  <si>
    <t>Toyota RAV4 Hybrid AWD Woodland Edition</t>
  </si>
  <si>
    <t>Toyota Sequoia 4WD</t>
  </si>
  <si>
    <t>Toyota Sienna</t>
  </si>
  <si>
    <t>Toyota Sienna AWD</t>
  </si>
  <si>
    <t>Toyota Tacoma 4WD (2-mode)</t>
  </si>
  <si>
    <t>Toyota Tacoma 4WD (3-mode)</t>
  </si>
  <si>
    <t>Toyota Tacoma 4WD</t>
  </si>
  <si>
    <t>Toyota Tacoma Hybrid 4WD</t>
  </si>
  <si>
    <t>Toyota Tacoma Hybrid 4WD Limited</t>
  </si>
  <si>
    <t>Toyota Tundra</t>
  </si>
  <si>
    <t>Toyota Tundra 4WD (1-mode)</t>
  </si>
  <si>
    <t>Toyota Tundra 4WD (3-mode)/TRD</t>
  </si>
  <si>
    <t>Toyota Tundra Hybrid 4WD</t>
  </si>
  <si>
    <t>Toyota Tundra Hybrid 4WD TRD PRO</t>
  </si>
  <si>
    <t>Volkswagen Atlas 4MOTION Comfortline</t>
  </si>
  <si>
    <t>Volkswagen Atlas 4MOTION Highline/Execline</t>
  </si>
  <si>
    <t>Volkswagen Atlas 4MOTION Peak Edition</t>
  </si>
  <si>
    <t>Volkswagen Atlas Cross Sport 4MOTION</t>
  </si>
  <si>
    <t>Volkswagen Golf GTI</t>
  </si>
  <si>
    <t>Volkswagen Golf R</t>
  </si>
  <si>
    <t>Volkswagen Jetta</t>
  </si>
  <si>
    <t>Volkswagen Jetta GLI</t>
  </si>
  <si>
    <t>Volkswagen Taos</t>
  </si>
  <si>
    <t>Volkswagen Taos 4MOTION</t>
  </si>
  <si>
    <t>Volkswagen Tiguan 4MOTION</t>
  </si>
  <si>
    <t>Volvo S60 B5 AWD</t>
  </si>
  <si>
    <t>Volvo S90 B6 AWD</t>
  </si>
  <si>
    <t>Volvo V60 CC B5 AWD</t>
  </si>
  <si>
    <t>Volvo V90 CC B6 AWD</t>
  </si>
  <si>
    <t>Volvo XC40 B5 AWD</t>
  </si>
  <si>
    <t>Volvo XC60 B5 AWD</t>
  </si>
  <si>
    <t>Volvo XC90 B6 AWD</t>
  </si>
  <si>
    <t>Acura</t>
  </si>
  <si>
    <t>Alfa Romeo</t>
  </si>
  <si>
    <t>Aston Martin</t>
  </si>
  <si>
    <t>Audi</t>
  </si>
  <si>
    <t>Bentley</t>
  </si>
  <si>
    <t>BMW</t>
  </si>
  <si>
    <t>Bugatti</t>
  </si>
  <si>
    <t>Buick</t>
  </si>
  <si>
    <t>Cadillac</t>
  </si>
  <si>
    <t>Chevrolet</t>
  </si>
  <si>
    <t>Chrysler</t>
  </si>
  <si>
    <t>Dodge</t>
  </si>
  <si>
    <t>Ferrari</t>
  </si>
  <si>
    <t>Ford</t>
  </si>
  <si>
    <t>Genesis</t>
  </si>
  <si>
    <t>GMC</t>
  </si>
  <si>
    <t>Honda</t>
  </si>
  <si>
    <t>Hyundai</t>
  </si>
  <si>
    <t>Infiniti</t>
  </si>
  <si>
    <t>Jaguar</t>
  </si>
  <si>
    <t>Jeep</t>
  </si>
  <si>
    <t>Kia</t>
  </si>
  <si>
    <t>Land Rover</t>
  </si>
  <si>
    <t>Lexus</t>
  </si>
  <si>
    <t>Lincoln</t>
  </si>
  <si>
    <t>Mazda</t>
  </si>
  <si>
    <t>Mercedes-Benz</t>
  </si>
  <si>
    <t>MINI</t>
  </si>
  <si>
    <t>Mitsubishi</t>
  </si>
  <si>
    <t>Nissan</t>
  </si>
  <si>
    <t>Porsche</t>
  </si>
  <si>
    <t>Ram</t>
  </si>
  <si>
    <t>Rolls-Royce</t>
  </si>
  <si>
    <t>Subaru</t>
  </si>
  <si>
    <t>Toyota</t>
  </si>
  <si>
    <t>Volkswagen</t>
  </si>
  <si>
    <t>Volvo</t>
  </si>
  <si>
    <t>Integra A-SPEC</t>
  </si>
  <si>
    <t>Integra Type S</t>
  </si>
  <si>
    <t>MDX SH-AWD</t>
  </si>
  <si>
    <t>MDX SH-AWD Type S</t>
  </si>
  <si>
    <t>RDX SH-AWD</t>
  </si>
  <si>
    <t>RDX SH-AWD A-SPEC</t>
  </si>
  <si>
    <t>TLX SH-AWD A-SPEC</t>
  </si>
  <si>
    <t>TLX Type S (Performance Tire)</t>
  </si>
  <si>
    <t>Giulia</t>
  </si>
  <si>
    <t>Giulia AWD</t>
  </si>
  <si>
    <t>Stelvio AWD</t>
  </si>
  <si>
    <t>Tonale AWD</t>
  </si>
  <si>
    <t>DB12</t>
  </si>
  <si>
    <t>DBX707</t>
  </si>
  <si>
    <t>Vantage</t>
  </si>
  <si>
    <t>A3 40 TFSI quattro</t>
  </si>
  <si>
    <t>A4 45 TFSI quattro</t>
  </si>
  <si>
    <t>A4 allroad 45 TFSI quattro</t>
  </si>
  <si>
    <t>A5 Coupé 45 TFSI quattro</t>
  </si>
  <si>
    <t>A5 Sedan quattro</t>
  </si>
  <si>
    <t>A5 Sportback 45 TFSI quattro</t>
  </si>
  <si>
    <t>A6 45 TFSI quattro</t>
  </si>
  <si>
    <t>A6 55 TFSI quattro</t>
  </si>
  <si>
    <t>A6 allroad 55 TFSI quattro</t>
  </si>
  <si>
    <t>A7 Sportback</t>
  </si>
  <si>
    <t>A8 quattro</t>
  </si>
  <si>
    <t>Q3 40 TFSI quattro</t>
  </si>
  <si>
    <t>Q3 45 TFSI quattro</t>
  </si>
  <si>
    <t>Q5 40 TFSI quattro</t>
  </si>
  <si>
    <t>Q5 45 TFSI quattro</t>
  </si>
  <si>
    <t>Q5 Sportback 45 TFSI quattro</t>
  </si>
  <si>
    <t>All-new Q5 TFSI quattro</t>
  </si>
  <si>
    <t>All-new Q5 Sportback TFSI quattro</t>
  </si>
  <si>
    <t>Q7 45 TFSI quattro</t>
  </si>
  <si>
    <t>Q7 55 TFSI quattro</t>
  </si>
  <si>
    <t>RS 3</t>
  </si>
  <si>
    <t>RS 5 Coupé</t>
  </si>
  <si>
    <t>RS 5 Sportback</t>
  </si>
  <si>
    <t>RS 6 Avant quattro performance</t>
  </si>
  <si>
    <t>RS 6 Avant GT</t>
  </si>
  <si>
    <t>RS 7 Sportback quattro performance</t>
  </si>
  <si>
    <t>RS Q8 performance</t>
  </si>
  <si>
    <t>S3 quattro</t>
  </si>
  <si>
    <t>S4 quattro</t>
  </si>
  <si>
    <t>S5 Coupé quattro</t>
  </si>
  <si>
    <t>S5 Sedan quattro</t>
  </si>
  <si>
    <t>S5 Sportback quattro</t>
  </si>
  <si>
    <t>S6 quattro</t>
  </si>
  <si>
    <t>S7 quattro</t>
  </si>
  <si>
    <t>S8 quattro</t>
  </si>
  <si>
    <t>SQ5 quattro</t>
  </si>
  <si>
    <t>SQ5 Sportback quattro</t>
  </si>
  <si>
    <t>All-new SQ5 quattro</t>
  </si>
  <si>
    <t>All-new SQ5 Sportback quattro</t>
  </si>
  <si>
    <t>SQ7 quattro</t>
  </si>
  <si>
    <t>SQ8 quattro</t>
  </si>
  <si>
    <t>Bentayga</t>
  </si>
  <si>
    <t>Bentayga EWB</t>
  </si>
  <si>
    <t>230i xDrive Coupe</t>
  </si>
  <si>
    <t>330i xDrive Sedan</t>
  </si>
  <si>
    <t>430i xDrive Cabriolet</t>
  </si>
  <si>
    <t>430i xDrive Coupe</t>
  </si>
  <si>
    <t>530i xDrive Sedan</t>
  </si>
  <si>
    <t>760i xDrive Sedan</t>
  </si>
  <si>
    <t>ALPINA XB7</t>
  </si>
  <si>
    <t>M2 Coupe</t>
  </si>
  <si>
    <t>M240i xDrive Coupe</t>
  </si>
  <si>
    <t>M3 Sedan</t>
  </si>
  <si>
    <t>M3 Competition Sedan</t>
  </si>
  <si>
    <t>M3 Competition M xDrive Sedan</t>
  </si>
  <si>
    <t>M340i xDrive Sedan</t>
  </si>
  <si>
    <t>M4 Coupe</t>
  </si>
  <si>
    <t>M4 Competition Coupe</t>
  </si>
  <si>
    <t>M4 Competition M xDrive Cabriolet</t>
  </si>
  <si>
    <t>M4 Competition M xDrive Coupe</t>
  </si>
  <si>
    <t>M4 CS Coupe</t>
  </si>
  <si>
    <t>M440i xDrive Cabriolet</t>
  </si>
  <si>
    <t>M440i xDrive Coupe</t>
  </si>
  <si>
    <t>M8 Competition Cabriolet</t>
  </si>
  <si>
    <t>M8 Competition Coupe</t>
  </si>
  <si>
    <t>M8 Competition Gran Coupe</t>
  </si>
  <si>
    <t>M850i xDrive Cabriolet</t>
  </si>
  <si>
    <t>M850i xDrive Coupe</t>
  </si>
  <si>
    <t>M850i xDrive Gran Coupe</t>
  </si>
  <si>
    <t>X1 xDrive28i</t>
  </si>
  <si>
    <t>X1 M35i</t>
  </si>
  <si>
    <t>X2 xDrive28i</t>
  </si>
  <si>
    <t>X2 M35i</t>
  </si>
  <si>
    <t>X3 xDrive30i</t>
  </si>
  <si>
    <t>X3 M50i xDrive</t>
  </si>
  <si>
    <t>X4 xDrive30i</t>
  </si>
  <si>
    <t>X4 M</t>
  </si>
  <si>
    <t>X4 M Competition</t>
  </si>
  <si>
    <t>X4 M40i xDrive</t>
  </si>
  <si>
    <t>X5 xDrive40i</t>
  </si>
  <si>
    <t>X5 M Competition</t>
  </si>
  <si>
    <t>X5 M60i xDrive</t>
  </si>
  <si>
    <t>X6 xDrive40i</t>
  </si>
  <si>
    <t>X6 M Competition</t>
  </si>
  <si>
    <t>X6 M60i xDrive</t>
  </si>
  <si>
    <t>X7 xDrive40i</t>
  </si>
  <si>
    <t>X7 M60i xDrive</t>
  </si>
  <si>
    <t>Z4 sDrive30i</t>
  </si>
  <si>
    <t>Z4 M40i</t>
  </si>
  <si>
    <t>Mistral</t>
  </si>
  <si>
    <t>Enclave AWD</t>
  </si>
  <si>
    <t>Encore GX</t>
  </si>
  <si>
    <t>Encore GX AWD</t>
  </si>
  <si>
    <t>Envision AWD</t>
  </si>
  <si>
    <t>Envista</t>
  </si>
  <si>
    <t>CT4</t>
  </si>
  <si>
    <t>CT4 AWD</t>
  </si>
  <si>
    <t>CT4-V</t>
  </si>
  <si>
    <t>CT4-V AWD</t>
  </si>
  <si>
    <t>CT5</t>
  </si>
  <si>
    <t>CT5 AWD</t>
  </si>
  <si>
    <t>CT5-V</t>
  </si>
  <si>
    <t>CT5-V AWD</t>
  </si>
  <si>
    <t>Escalade 4WD</t>
  </si>
  <si>
    <t>Escalade-V AWD</t>
  </si>
  <si>
    <t>XT4 AWD</t>
  </si>
  <si>
    <t>XT5</t>
  </si>
  <si>
    <t>XT5 AWD</t>
  </si>
  <si>
    <t>XT6 AWD</t>
  </si>
  <si>
    <t>Blazer AWD</t>
  </si>
  <si>
    <t>Colorado</t>
  </si>
  <si>
    <t>Colorado 4WD</t>
  </si>
  <si>
    <t>Colorado 4WD Mud Terrain Tire</t>
  </si>
  <si>
    <t>Colorado ZR2 4WD</t>
  </si>
  <si>
    <t>Colorado ZR2 Bison 4WD</t>
  </si>
  <si>
    <t>Corvette</t>
  </si>
  <si>
    <t>Corvette E-Ray</t>
  </si>
  <si>
    <t>Corvette Z06</t>
  </si>
  <si>
    <t>Corvette Z06 Carbon Aero</t>
  </si>
  <si>
    <t>Corvette ZR1</t>
  </si>
  <si>
    <t>Equinox</t>
  </si>
  <si>
    <t>Equinox AWD</t>
  </si>
  <si>
    <t>Malibu</t>
  </si>
  <si>
    <t>Silverado</t>
  </si>
  <si>
    <t>Silverado 4WD</t>
  </si>
  <si>
    <t>Silverado 4WD Mud Terrain Tire</t>
  </si>
  <si>
    <t>Silverado 4WD (With Sport Mode)</t>
  </si>
  <si>
    <t>Silverado 4WD FFV</t>
  </si>
  <si>
    <t>Silverado 4WD ZR2</t>
  </si>
  <si>
    <t>Suburban</t>
  </si>
  <si>
    <t>Suburban 4WD</t>
  </si>
  <si>
    <t>Tahoe</t>
  </si>
  <si>
    <t>Tahoe 4WD</t>
  </si>
  <si>
    <t>Trailblazer</t>
  </si>
  <si>
    <t>Trailblazer AWD</t>
  </si>
  <si>
    <t>Traverse AWD</t>
  </si>
  <si>
    <t>Trax</t>
  </si>
  <si>
    <t>Grand Caravan</t>
  </si>
  <si>
    <t>Pacifica</t>
  </si>
  <si>
    <t>Pacifica AWD</t>
  </si>
  <si>
    <t>Durango AWD</t>
  </si>
  <si>
    <t>Durango AWD SRT Hellcat</t>
  </si>
  <si>
    <t>Hornet AWD</t>
  </si>
  <si>
    <t>12Cilindri</t>
  </si>
  <si>
    <t>12Cilindri Spider</t>
  </si>
  <si>
    <t>Daytona SP3</t>
  </si>
  <si>
    <t>Purosangue</t>
  </si>
  <si>
    <t>Roma Spider</t>
  </si>
  <si>
    <t>Bronco 4WD</t>
  </si>
  <si>
    <t>Bronco 4WD (With Sport Mode)</t>
  </si>
  <si>
    <t>Bronco Badlands 4WD</t>
  </si>
  <si>
    <t>Bronco Outer Banks 4WD</t>
  </si>
  <si>
    <t>Bronco Sasquatch 4WD</t>
  </si>
  <si>
    <t>Bronco Sport 4WD</t>
  </si>
  <si>
    <t>Bronco Sport Sasquatch</t>
  </si>
  <si>
    <t>Escape</t>
  </si>
  <si>
    <t>Escape AWD</t>
  </si>
  <si>
    <t>Escape Hybrid</t>
  </si>
  <si>
    <t>Escape Hybrid AWD</t>
  </si>
  <si>
    <t>Expedition 4WD</t>
  </si>
  <si>
    <t>Explorer AWD</t>
  </si>
  <si>
    <t>F-150</t>
  </si>
  <si>
    <t>F-150 4X4</t>
  </si>
  <si>
    <t>F-150 Hybrid 4X4</t>
  </si>
  <si>
    <t>F-150 Tremor 4X4</t>
  </si>
  <si>
    <t>F-150 Raptor 4X4</t>
  </si>
  <si>
    <t>F-150 Raptor R 4X4</t>
  </si>
  <si>
    <t>Maverick AWD</t>
  </si>
  <si>
    <t>Maverick Lobo</t>
  </si>
  <si>
    <t>Maverick Tremor AWD</t>
  </si>
  <si>
    <t>Maverick Hybrid</t>
  </si>
  <si>
    <t>Maverick Hybrid AWD</t>
  </si>
  <si>
    <t>Mustang</t>
  </si>
  <si>
    <t>Mustang Dark Horse</t>
  </si>
  <si>
    <t>Mustang GTD</t>
  </si>
  <si>
    <t>Ranger 4WD</t>
  </si>
  <si>
    <t>Ranger Raptor 4WD</t>
  </si>
  <si>
    <t>G70 AWD</t>
  </si>
  <si>
    <t>G80 AWD</t>
  </si>
  <si>
    <t>G90</t>
  </si>
  <si>
    <t>GV70 AWD</t>
  </si>
  <si>
    <t>GV80</t>
  </si>
  <si>
    <t>GV80 AWD</t>
  </si>
  <si>
    <t>Acadia AWD</t>
  </si>
  <si>
    <t>Canyon</t>
  </si>
  <si>
    <t>Canyon 4WD</t>
  </si>
  <si>
    <t>Canyon AT4X 4WD</t>
  </si>
  <si>
    <t>Canyon AT4X AEV 4WD</t>
  </si>
  <si>
    <t>Sierra</t>
  </si>
  <si>
    <t>Sierra 4WD</t>
  </si>
  <si>
    <t>Sierra 4WD (With Sport Mode)</t>
  </si>
  <si>
    <t>Sierra 4WD Mud Terrain Tire</t>
  </si>
  <si>
    <t>Sierra 4WD FFV</t>
  </si>
  <si>
    <t>Sierra 4WD AT4X</t>
  </si>
  <si>
    <t>Terrain</t>
  </si>
  <si>
    <t>Terrain AWD</t>
  </si>
  <si>
    <t>Yukon</t>
  </si>
  <si>
    <t>Yukon 4WD</t>
  </si>
  <si>
    <t>Yukon XL</t>
  </si>
  <si>
    <t>Yukon XL 4WD</t>
  </si>
  <si>
    <t>Accord</t>
  </si>
  <si>
    <t>Accord Hybrid Sport/Touring</t>
  </si>
  <si>
    <t>Civic Hatchback</t>
  </si>
  <si>
    <t>Civic Hatchback Hybrid</t>
  </si>
  <si>
    <t>Civic Sedan</t>
  </si>
  <si>
    <t>Civic Sedan Hybrid</t>
  </si>
  <si>
    <t>Civic Sedan Si</t>
  </si>
  <si>
    <t>Civic Type R</t>
  </si>
  <si>
    <t>CR-V</t>
  </si>
  <si>
    <t>CR-V AWD</t>
  </si>
  <si>
    <t>CR-V Hybrid AWD</t>
  </si>
  <si>
    <t>HR-V</t>
  </si>
  <si>
    <t>HR-V AWD</t>
  </si>
  <si>
    <t>Odyssey</t>
  </si>
  <si>
    <t>Passport AWD</t>
  </si>
  <si>
    <t>Pilot AWD</t>
  </si>
  <si>
    <t>Pilot AWD Touring/Elite/Black</t>
  </si>
  <si>
    <t>Pilot AWD TrailSport</t>
  </si>
  <si>
    <t>Ridgeline AWD</t>
  </si>
  <si>
    <t>Ridgeline AWD TrailSport</t>
  </si>
  <si>
    <t>Elantra</t>
  </si>
  <si>
    <t>Elantra (Stop/Start)</t>
  </si>
  <si>
    <t>Elantra Hybrid</t>
  </si>
  <si>
    <t>Elantra N</t>
  </si>
  <si>
    <t>Kona</t>
  </si>
  <si>
    <t>Kona (Stop/Start)</t>
  </si>
  <si>
    <t>Kona AWD</t>
  </si>
  <si>
    <t>Kona AWD (Stop/Start)</t>
  </si>
  <si>
    <t>Palisade AWD</t>
  </si>
  <si>
    <t>Santa Cruz AWD</t>
  </si>
  <si>
    <t>Santa Cruz AWD XRT</t>
  </si>
  <si>
    <t>Santa Fe AWD</t>
  </si>
  <si>
    <t>Santa Fe AWD XRT</t>
  </si>
  <si>
    <t>Santa Fe Hybrid AWD</t>
  </si>
  <si>
    <t>Sonata</t>
  </si>
  <si>
    <t>Sonata AWD</t>
  </si>
  <si>
    <t>Sonata Hybrid</t>
  </si>
  <si>
    <t>Tucson AWD</t>
  </si>
  <si>
    <t>Tucson Hybrid</t>
  </si>
  <si>
    <t>Venue</t>
  </si>
  <si>
    <t>QX50 AWD</t>
  </si>
  <si>
    <t>QX55 AWD</t>
  </si>
  <si>
    <t>QX60 AWD</t>
  </si>
  <si>
    <t>QX80 4WD</t>
  </si>
  <si>
    <t>F-Pace P250</t>
  </si>
  <si>
    <t>F-Pace P400</t>
  </si>
  <si>
    <t>F-Pace P550 SVR</t>
  </si>
  <si>
    <t>Compass 4X4</t>
  </si>
  <si>
    <t>Gladiator 4X4</t>
  </si>
  <si>
    <t>Grand Cherokee 4X4</t>
  </si>
  <si>
    <t>Grand Cherokee L 4X4</t>
  </si>
  <si>
    <t>Grand Wagoneer 4X4 (High Output)</t>
  </si>
  <si>
    <t>Grand Wagoneer L 4X4 (High Output)</t>
  </si>
  <si>
    <t>Wagoneer 4X4</t>
  </si>
  <si>
    <t>Wagoneer L 4X4</t>
  </si>
  <si>
    <t>Wrangler JL 4X4</t>
  </si>
  <si>
    <t>Wrangler JL Unlimited 4X4</t>
  </si>
  <si>
    <t>Carnival</t>
  </si>
  <si>
    <t>Carnival Hybrid</t>
  </si>
  <si>
    <t>K4</t>
  </si>
  <si>
    <t>K4 (Without DMS)</t>
  </si>
  <si>
    <t>Niro</t>
  </si>
  <si>
    <t>Niro FE</t>
  </si>
  <si>
    <t>Seltos</t>
  </si>
  <si>
    <t>Seltos AWD</t>
  </si>
  <si>
    <t>Sorento AWD</t>
  </si>
  <si>
    <t>Sorento Hybrid AWD</t>
  </si>
  <si>
    <t>Soul</t>
  </si>
  <si>
    <t>Sportage</t>
  </si>
  <si>
    <t>Sportage AWD</t>
  </si>
  <si>
    <t>Sportage Hybrid AWD</t>
  </si>
  <si>
    <t>Telluride AWD</t>
  </si>
  <si>
    <t>Defender 90 P300</t>
  </si>
  <si>
    <t>Defender 110 P300</t>
  </si>
  <si>
    <t>Discovery P300</t>
  </si>
  <si>
    <t>Discovery P360</t>
  </si>
  <si>
    <t>Discovery Sport P250</t>
  </si>
  <si>
    <t>Range Rover P530</t>
  </si>
  <si>
    <t>Range Rover P530 LWB</t>
  </si>
  <si>
    <t>Range Rover SV P615</t>
  </si>
  <si>
    <t>Range Rover SV P615 LWB</t>
  </si>
  <si>
    <t>Range Rover Sport P530</t>
  </si>
  <si>
    <t>Range Rover Sport SV P635</t>
  </si>
  <si>
    <t>Range Rover Evoque P250</t>
  </si>
  <si>
    <t>Range Rover Velar P250</t>
  </si>
  <si>
    <t>Range Rover Velar P340</t>
  </si>
  <si>
    <t>Range Rover Velar P400</t>
  </si>
  <si>
    <t>ES 250 AWD</t>
  </si>
  <si>
    <t>ES 300h</t>
  </si>
  <si>
    <t>ES 350</t>
  </si>
  <si>
    <t>ES 350 F SPORT</t>
  </si>
  <si>
    <t>GX 550</t>
  </si>
  <si>
    <t>IS 300 AWD</t>
  </si>
  <si>
    <t>IS 350 AWD</t>
  </si>
  <si>
    <t>IS 500</t>
  </si>
  <si>
    <t>LC 500</t>
  </si>
  <si>
    <t>LC 500 Convertible</t>
  </si>
  <si>
    <t>LC 500h</t>
  </si>
  <si>
    <t>LS 500 AWD</t>
  </si>
  <si>
    <t>LS 500h AWD</t>
  </si>
  <si>
    <t>LX 600</t>
  </si>
  <si>
    <t>LX 700h</t>
  </si>
  <si>
    <t>NX 250 AWD</t>
  </si>
  <si>
    <t>NX 350 AWD</t>
  </si>
  <si>
    <t>NX 350 AWD F SPORT</t>
  </si>
  <si>
    <t>NX 350h AWD</t>
  </si>
  <si>
    <t>RC 300 AWD</t>
  </si>
  <si>
    <t>RC 350 AWD</t>
  </si>
  <si>
    <t>RC F</t>
  </si>
  <si>
    <t>RX 350 AWD</t>
  </si>
  <si>
    <t>RX 350h AWD</t>
  </si>
  <si>
    <t>RX 500h AWD</t>
  </si>
  <si>
    <t>TX 350 AWD</t>
  </si>
  <si>
    <t>TX 500h AWD</t>
  </si>
  <si>
    <t>UX 300h AWD</t>
  </si>
  <si>
    <t>Aviator AWD</t>
  </si>
  <si>
    <t>Corsair AWD</t>
  </si>
  <si>
    <t>Nautilus AWD</t>
  </si>
  <si>
    <t>Nautilus Hybrid AWD</t>
  </si>
  <si>
    <t>Navigator 4WD</t>
  </si>
  <si>
    <t>CX-30 4WD</t>
  </si>
  <si>
    <t>CX-30 Turbo 4WD</t>
  </si>
  <si>
    <t>CX-5 4WD</t>
  </si>
  <si>
    <t>CX-5 4WD (Cylinder Deactivation)</t>
  </si>
  <si>
    <t>CX-5 Turbo 4WD</t>
  </si>
  <si>
    <t>CX-50 4WD</t>
  </si>
  <si>
    <t>CX-50 Turbo 4WD</t>
  </si>
  <si>
    <t>CX-50 Hybrid 4WD</t>
  </si>
  <si>
    <t>CX-70 4WD</t>
  </si>
  <si>
    <t>CX-70 4WD (High Power)</t>
  </si>
  <si>
    <t>CX-90 4WD</t>
  </si>
  <si>
    <t>CX-90 4WD (High Power)</t>
  </si>
  <si>
    <t>Mazda3 4-Door</t>
  </si>
  <si>
    <t>Mazda3 4-Door 4WD</t>
  </si>
  <si>
    <t>Mazda3 4-Door Turbo 4WD</t>
  </si>
  <si>
    <t>Mazda3 5-Door</t>
  </si>
  <si>
    <t>Mazda3 5-Door (SIL)</t>
  </si>
  <si>
    <t>Mazda3 5-Door 4WD</t>
  </si>
  <si>
    <t>Mazda3 5-Door Turbo 4WD</t>
  </si>
  <si>
    <t>MX-5</t>
  </si>
  <si>
    <t>MX-5 (SIL)</t>
  </si>
  <si>
    <t>AMG C 43 4MATIC Sedan</t>
  </si>
  <si>
    <t>AMG CLA 35 4MATIC Coupe</t>
  </si>
  <si>
    <t>AMG CLA 45 S 4MATIC Coupe</t>
  </si>
  <si>
    <t>AMG CLE 53 4MATIC+ Cabriolet</t>
  </si>
  <si>
    <t>AMG CLE 53 4MATIC+ Coupe</t>
  </si>
  <si>
    <t>AMG G 63 SUV</t>
  </si>
  <si>
    <t>AMG GLA 35 4MATIC Coupe</t>
  </si>
  <si>
    <t>AMG GLB 35 4MATIC Coupe</t>
  </si>
  <si>
    <t>AMG GLC 43 4MATIC+ SUV</t>
  </si>
  <si>
    <t>AMG GLC 43 4MATIC Coupe</t>
  </si>
  <si>
    <t>AMG GLE 53 4MATIC+ SUV</t>
  </si>
  <si>
    <t>AMG GLE 53 4MATIC+ Coupe</t>
  </si>
  <si>
    <t>AMG GLE 63 S 4MATIC+ SUV</t>
  </si>
  <si>
    <t>AMG GLE 63 S 4MATIC+ Coupe</t>
  </si>
  <si>
    <t>AMG GLS 63 4MATIC+ SUV</t>
  </si>
  <si>
    <t xml:space="preserve">AMG GT 53 4MATIC+ </t>
  </si>
  <si>
    <t>AMG GT 55 4MATIC+ Coupe</t>
  </si>
  <si>
    <t>AMG GT 63 4MATIC+</t>
  </si>
  <si>
    <t>AMG GT 63 4MATIC+ Coupe</t>
  </si>
  <si>
    <t>AMG GT 63 PRO 4MATIC+ Coupe</t>
  </si>
  <si>
    <t>AMG SL 43 4MATIC Roadster</t>
  </si>
  <si>
    <t>AMG SL 55 4MATIC+ Roadster</t>
  </si>
  <si>
    <t>AMG SL 63 4MATIC+ Roadster</t>
  </si>
  <si>
    <t>C 300 4MATIC Sedan</t>
  </si>
  <si>
    <t>CLA 250 4MATIC Coupe</t>
  </si>
  <si>
    <t>CLE 300 4MATIC Cabriolet</t>
  </si>
  <si>
    <t>CLE 300 4MATIC Coupe</t>
  </si>
  <si>
    <t>CLE 450 4MATIC Cabriolet</t>
  </si>
  <si>
    <t>CLE 450 4MATIC Coupe</t>
  </si>
  <si>
    <t>E 350 4MATIC Sedan</t>
  </si>
  <si>
    <t>E 450 4MATIC Sedan</t>
  </si>
  <si>
    <t>G 550 SUV</t>
  </si>
  <si>
    <t>GLA 250 4MATIC SUV</t>
  </si>
  <si>
    <t>GLB 250 4MATIC SUV</t>
  </si>
  <si>
    <t>GLC 300 4MATIC SUV</t>
  </si>
  <si>
    <t>GLC 300 4MATIC Coupe</t>
  </si>
  <si>
    <t>GLE 350 4MATIC SUV</t>
  </si>
  <si>
    <t>GLE 450 4MATIC SUV</t>
  </si>
  <si>
    <t>GLE 450 4MATIC Coupe</t>
  </si>
  <si>
    <t>GLS 450 4MATIC SUV</t>
  </si>
  <si>
    <t>GLS 580 4MATIC SUV</t>
  </si>
  <si>
    <t>GLS 600 4MATIC Maybach SUV</t>
  </si>
  <si>
    <t>Maybach S 580 4MATIC Sedan</t>
  </si>
  <si>
    <t>Maybach S 680 4MATIC Sedan</t>
  </si>
  <si>
    <t>S 500 4MATIC Sedan</t>
  </si>
  <si>
    <t>S 580 4MATIC Sedan</t>
  </si>
  <si>
    <t>Cooper 3 Door</t>
  </si>
  <si>
    <t>Cooper 5 Door</t>
  </si>
  <si>
    <t>Cooper Convertible</t>
  </si>
  <si>
    <t>Cooper S 3 Door</t>
  </si>
  <si>
    <t>Cooper S 5 Door</t>
  </si>
  <si>
    <t>Cooper S Convertible</t>
  </si>
  <si>
    <t>Cooper S Countryman ALL4</t>
  </si>
  <si>
    <t>John Cooper Works 3 Door</t>
  </si>
  <si>
    <t>John Cooper Works Convertible</t>
  </si>
  <si>
    <t>John Cooper Works Countryman ALL4</t>
  </si>
  <si>
    <t>Eclipse Cross 4WD</t>
  </si>
  <si>
    <t>Outlander 4WD</t>
  </si>
  <si>
    <t>RVR</t>
  </si>
  <si>
    <t>RVR 4WD</t>
  </si>
  <si>
    <t>Altima AWD</t>
  </si>
  <si>
    <t>Altima AWD SR/Platinum</t>
  </si>
  <si>
    <t>Armada 4WD</t>
  </si>
  <si>
    <t>Armada 4WD PRO-4X</t>
  </si>
  <si>
    <t>Frontier</t>
  </si>
  <si>
    <t>Frontier 4WD</t>
  </si>
  <si>
    <t>Frontier 4WD PRO-4X</t>
  </si>
  <si>
    <t>Kicks</t>
  </si>
  <si>
    <t>Kicks AWD</t>
  </si>
  <si>
    <t>Kicks Play</t>
  </si>
  <si>
    <t>Murano AWD</t>
  </si>
  <si>
    <t>Pathfinder 4WD</t>
  </si>
  <si>
    <t>Pathfinder 4WD Rock Creek</t>
  </si>
  <si>
    <t>Rogue</t>
  </si>
  <si>
    <t>Rogue AWD</t>
  </si>
  <si>
    <t>Sentra</t>
  </si>
  <si>
    <t>Sentra SR</t>
  </si>
  <si>
    <t>Versa</t>
  </si>
  <si>
    <t>Z</t>
  </si>
  <si>
    <t>Z NISMO</t>
  </si>
  <si>
    <t>718 Boxster</t>
  </si>
  <si>
    <t>718 Boxster S</t>
  </si>
  <si>
    <t>718 Boxster GTS</t>
  </si>
  <si>
    <t>718 Cayman</t>
  </si>
  <si>
    <t>718 Cayman S</t>
  </si>
  <si>
    <t>718 Cayman GTS</t>
  </si>
  <si>
    <t>911 Carrera</t>
  </si>
  <si>
    <t>911 Carrera Cabriolet</t>
  </si>
  <si>
    <t>911 GT3 RS</t>
  </si>
  <si>
    <t>911 Turbo</t>
  </si>
  <si>
    <t>911 Turbo Cabriolet</t>
  </si>
  <si>
    <t>911 Turbo S</t>
  </si>
  <si>
    <t>911 Turbo S Cabriolet</t>
  </si>
  <si>
    <t>Cayenne</t>
  </si>
  <si>
    <t>Cayenne Coupe</t>
  </si>
  <si>
    <t>Cayenne S</t>
  </si>
  <si>
    <t>Cayenne S Coupe</t>
  </si>
  <si>
    <t>Cayenne Turbo GT Coupe</t>
  </si>
  <si>
    <t>Macan</t>
  </si>
  <si>
    <t>Macan T</t>
  </si>
  <si>
    <t>Macan S</t>
  </si>
  <si>
    <t>Macan GTS</t>
  </si>
  <si>
    <t>Panamera</t>
  </si>
  <si>
    <t>Panamera 4</t>
  </si>
  <si>
    <t>Panamera GTS</t>
  </si>
  <si>
    <t>1500</t>
  </si>
  <si>
    <t>1500 eTorque</t>
  </si>
  <si>
    <t>1500 4X4</t>
  </si>
  <si>
    <t>1500 4X4 eTorque</t>
  </si>
  <si>
    <t>1500 4X4 HO</t>
  </si>
  <si>
    <t>1500 4X4 RHO</t>
  </si>
  <si>
    <t>Cullinan</t>
  </si>
  <si>
    <t>Black Badge Cullinan</t>
  </si>
  <si>
    <t>Ghost</t>
  </si>
  <si>
    <t>Black Badge Ghost</t>
  </si>
  <si>
    <t>Ghost Extended</t>
  </si>
  <si>
    <t>Phantom</t>
  </si>
  <si>
    <t>Phantom Extended</t>
  </si>
  <si>
    <t>Ascent AWD</t>
  </si>
  <si>
    <t>BRZ</t>
  </si>
  <si>
    <t>Crosstrek AWD</t>
  </si>
  <si>
    <t>Crosstrek Wilderness AWD</t>
  </si>
  <si>
    <t>Forester AWD</t>
  </si>
  <si>
    <t>Forester Wilderness AWD</t>
  </si>
  <si>
    <t>Forester e-BOXER Hybrid AWD</t>
  </si>
  <si>
    <t>Impreza AWD</t>
  </si>
  <si>
    <t>Outback AWD</t>
  </si>
  <si>
    <t>Outback Wilderness AWD</t>
  </si>
  <si>
    <t>WRX AWD</t>
  </si>
  <si>
    <t>4Runner 4WD (Part-Time 4WD)</t>
  </si>
  <si>
    <t>4Runner 4WD Limited</t>
  </si>
  <si>
    <t>4Runner Hybrid 4WD (Part-Time 4WD)</t>
  </si>
  <si>
    <t>4Runner Hybrid 4WD Platinum</t>
  </si>
  <si>
    <t>Camry</t>
  </si>
  <si>
    <t>Camry AWD SE/XLE</t>
  </si>
  <si>
    <t>Camry AWD XSE</t>
  </si>
  <si>
    <t>Corolla (1-mode)</t>
  </si>
  <si>
    <t>Corolla (3-mode)</t>
  </si>
  <si>
    <t>Corolla Hatchback</t>
  </si>
  <si>
    <t>Corolla Hybrid</t>
  </si>
  <si>
    <t>Corolla Hybrid AWD (2-mode)</t>
  </si>
  <si>
    <t>Corolla Hybrid AWD (3-mode)</t>
  </si>
  <si>
    <t>Corolla Cross</t>
  </si>
  <si>
    <t>Corolla Cross AWD</t>
  </si>
  <si>
    <t>Corolla Cross Hybrid AWD</t>
  </si>
  <si>
    <t>Crown AWD</t>
  </si>
  <si>
    <t>Crown Signia AWD</t>
  </si>
  <si>
    <t>GR Corolla</t>
  </si>
  <si>
    <t>GR Supra 3.0</t>
  </si>
  <si>
    <t>GR86</t>
  </si>
  <si>
    <t>Grand Highlander AWD Limited</t>
  </si>
  <si>
    <t>Grand Highlander AWD XLE</t>
  </si>
  <si>
    <t>Grand Highlander Hybrid AWD</t>
  </si>
  <si>
    <t>Grand Highlander Hybrid MAX AWD</t>
  </si>
  <si>
    <t>Highlander AWD</t>
  </si>
  <si>
    <t>Highlander Hybrid AWD</t>
  </si>
  <si>
    <t>Highlander Hybrid AWD Limited/Platinum</t>
  </si>
  <si>
    <t>Land Cruiser</t>
  </si>
  <si>
    <t>Prius AWD</t>
  </si>
  <si>
    <t>RAV4 AWD</t>
  </si>
  <si>
    <t>RAV4 AWD (Stop/Start)</t>
  </si>
  <si>
    <t>RAV4 AWD LE</t>
  </si>
  <si>
    <t>RAV4 Hybrid AWD</t>
  </si>
  <si>
    <t>RAV4 Hybrid AWD Woodland Edition</t>
  </si>
  <si>
    <t>Sequoia 4WD</t>
  </si>
  <si>
    <t>Sienna</t>
  </si>
  <si>
    <t>Sienna AWD</t>
  </si>
  <si>
    <t>Tacoma 4WD (2-mode)</t>
  </si>
  <si>
    <t>Tacoma 4WD (3-mode)</t>
  </si>
  <si>
    <t>Tacoma 4WD</t>
  </si>
  <si>
    <t>Tacoma Hybrid 4WD</t>
  </si>
  <si>
    <t>Tacoma Hybrid 4WD Limited</t>
  </si>
  <si>
    <t>Tundra</t>
  </si>
  <si>
    <t>Tundra 4WD (1-mode)</t>
  </si>
  <si>
    <t>Tundra 4WD (3-mode)/TRD</t>
  </si>
  <si>
    <t>Tundra Hybrid 4WD</t>
  </si>
  <si>
    <t>Tundra Hybrid 4WD TRD PRO</t>
  </si>
  <si>
    <t>Atlas 4MOTION Comfortline</t>
  </si>
  <si>
    <t>Atlas 4MOTION Highline/Execline</t>
  </si>
  <si>
    <t>Atlas 4MOTION Peak Edition</t>
  </si>
  <si>
    <t>Atlas Cross Sport 4MOTION</t>
  </si>
  <si>
    <t>Golf GTI</t>
  </si>
  <si>
    <t>Golf R</t>
  </si>
  <si>
    <t>Jetta</t>
  </si>
  <si>
    <t>Jetta GLI</t>
  </si>
  <si>
    <t>Taos</t>
  </si>
  <si>
    <t>Taos 4MOTION</t>
  </si>
  <si>
    <t>Tiguan 4MOTION</t>
  </si>
  <si>
    <t>S60 B5 AWD</t>
  </si>
  <si>
    <t>S90 B6 AWD</t>
  </si>
  <si>
    <t>V60 CC B5 AWD</t>
  </si>
  <si>
    <t>V90 CC B6 AWD</t>
  </si>
  <si>
    <t>XC40 B5 AWD</t>
  </si>
  <si>
    <t>XC60 B5 AWD</t>
  </si>
  <si>
    <t>XC90 B6 AWD</t>
  </si>
  <si>
    <t>Full-size</t>
  </si>
  <si>
    <t>Sport utility vehicle: Small</t>
  </si>
  <si>
    <t>Sport utility vehicle: Standard</t>
  </si>
  <si>
    <t>Compact</t>
  </si>
  <si>
    <t>Mid-size</t>
  </si>
  <si>
    <t>Minicompact</t>
  </si>
  <si>
    <t>Two-seater</t>
  </si>
  <si>
    <t>Subcompact</t>
  </si>
  <si>
    <t>Station wagon: Small</t>
  </si>
  <si>
    <t>Station wagon: Mid-size</t>
  </si>
  <si>
    <t>Pickup truck: Standard</t>
  </si>
  <si>
    <t>Minivan</t>
  </si>
  <si>
    <t>Pickup truck: Small</t>
  </si>
  <si>
    <t>AV7</t>
  </si>
  <si>
    <t>M6</t>
  </si>
  <si>
    <t>AS10</t>
  </si>
  <si>
    <t>A8</t>
  </si>
  <si>
    <t>A9</t>
  </si>
  <si>
    <t>AM7</t>
  </si>
  <si>
    <t>AS8</t>
  </si>
  <si>
    <t>AV</t>
  </si>
  <si>
    <t>AS9</t>
  </si>
  <si>
    <t>A6</t>
  </si>
  <si>
    <t>A10</t>
  </si>
  <si>
    <t>AM8</t>
  </si>
  <si>
    <t>AV1</t>
  </si>
  <si>
    <t>AM6</t>
  </si>
  <si>
    <t>AV8</t>
  </si>
  <si>
    <t>AS6</t>
  </si>
  <si>
    <t>AV6</t>
  </si>
  <si>
    <t>AV10</t>
  </si>
  <si>
    <t>X</t>
  </si>
  <si>
    <t>D</t>
  </si>
  <si>
    <t>Hybrid vs Gas Break-Even Calculator</t>
  </si>
  <si>
    <t>INPUTS</t>
  </si>
  <si>
    <t>Variable</t>
  </si>
  <si>
    <t>Value</t>
  </si>
  <si>
    <t>Unit</t>
  </si>
  <si>
    <t>Price Premium (Vehicle 2 - Vehicle 1)</t>
  </si>
  <si>
    <t>$</t>
  </si>
  <si>
    <t>Vehicle 1 Selection</t>
  </si>
  <si>
    <t>Vehicle 2 Selection</t>
  </si>
  <si>
    <t>Vehicle 1 Efficiency</t>
  </si>
  <si>
    <t>L/100km</t>
  </si>
  <si>
    <t>Vehicle 2 Efficiency</t>
  </si>
  <si>
    <t>Break-Even Horizon</t>
  </si>
  <si>
    <t>years</t>
  </si>
  <si>
    <t>Annual Interest Rate</t>
  </si>
  <si>
    <t>%</t>
  </si>
  <si>
    <t>Kilometers per Year</t>
  </si>
  <si>
    <t>km</t>
  </si>
  <si>
    <t>Gasoline Price</t>
  </si>
  <si>
    <t>$/L</t>
  </si>
  <si>
    <t>INTERMEDIATE CALCULATIONS</t>
  </si>
  <si>
    <t>Annual Fuel Used (Vehicle 1)</t>
  </si>
  <si>
    <t>Annual Fuel Used (Vehicle 2)</t>
  </si>
  <si>
    <t>Annual Fuel Saved</t>
  </si>
  <si>
    <t>Annual Financial Savings</t>
  </si>
  <si>
    <t>Monthly Financial Savings</t>
  </si>
  <si>
    <t>Monthly Loan Payment</t>
  </si>
  <si>
    <t>Annual Loan Payment</t>
  </si>
  <si>
    <t>Net Annual Cash Flow</t>
  </si>
  <si>
    <t>BREAK-EVEN TARGETS</t>
  </si>
  <si>
    <t>Max Premium (Willingness to Pay)</t>
  </si>
  <si>
    <t>Required Km/Year</t>
  </si>
  <si>
    <t>Required Gas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</si>
</sst>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* #,##0.00_-;\-&quot;$&quot;* #,##0.00_-;_-&quot;$&quot;* &quot;-&quot;??_-;_-@_-"/>
    <numFmt numFmtId="43" formatCode="_-* #,##0.00_-;\-* #,##0.00_-;_-* &quot;-&quot;??_-;_-@_-"/>
    <numFmt numFmtId="166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  <xf numFmtId="44" fontId="0" fillId="0" borderId="0" xfId="2" applyNumberFormat="1" applyFont="1"/>
    <xf numFmtId="166" fontId="0" fillId="0" borderId="0" xfId="1" applyNumberFormat="1" applyFont="1"/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52"/>
  <sheetViews>
    <sheetView topLeftCell="A11" workbookViewId="0"/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561</v>
      </c>
      <c r="C2" t="s">
        <v>598</v>
      </c>
      <c r="D2" t="s">
        <v>1149</v>
      </c>
      <c r="E2">
        <v>1.5</v>
      </c>
      <c r="F2">
        <v>4</v>
      </c>
      <c r="G2" t="s">
        <v>1162</v>
      </c>
      <c r="H2" t="s">
        <v>1032</v>
      </c>
      <c r="I2">
        <v>7.4</v>
      </c>
      <c r="J2">
        <v>38</v>
      </c>
    </row>
    <row r="3" spans="1:10" x14ac:dyDescent="0.25">
      <c r="A3" t="s">
        <v>11</v>
      </c>
      <c r="B3" t="s">
        <v>561</v>
      </c>
      <c r="C3" t="s">
        <v>599</v>
      </c>
      <c r="D3" t="s">
        <v>1149</v>
      </c>
      <c r="E3">
        <v>2</v>
      </c>
      <c r="F3">
        <v>4</v>
      </c>
      <c r="G3" t="s">
        <v>1163</v>
      </c>
      <c r="H3" t="s">
        <v>1032</v>
      </c>
      <c r="I3">
        <v>9.9</v>
      </c>
      <c r="J3">
        <v>29</v>
      </c>
    </row>
    <row r="4" spans="1:10" x14ac:dyDescent="0.25">
      <c r="A4" t="s">
        <v>12</v>
      </c>
      <c r="B4" t="s">
        <v>561</v>
      </c>
      <c r="C4" t="s">
        <v>600</v>
      </c>
      <c r="D4" t="s">
        <v>1150</v>
      </c>
      <c r="E4">
        <v>3.5</v>
      </c>
      <c r="F4">
        <v>6</v>
      </c>
      <c r="G4" t="s">
        <v>1164</v>
      </c>
      <c r="H4" t="s">
        <v>1032</v>
      </c>
      <c r="I4">
        <v>11.2</v>
      </c>
      <c r="J4">
        <v>25</v>
      </c>
    </row>
    <row r="5" spans="1:10" x14ac:dyDescent="0.25">
      <c r="A5" t="s">
        <v>13</v>
      </c>
      <c r="B5" t="s">
        <v>561</v>
      </c>
      <c r="C5" t="s">
        <v>601</v>
      </c>
      <c r="D5" t="s">
        <v>1151</v>
      </c>
      <c r="E5">
        <v>3</v>
      </c>
      <c r="F5">
        <v>6</v>
      </c>
      <c r="G5" t="s">
        <v>1164</v>
      </c>
      <c r="H5" t="s">
        <v>1032</v>
      </c>
      <c r="I5">
        <v>12.4</v>
      </c>
      <c r="J5">
        <v>23</v>
      </c>
    </row>
    <row r="6" spans="1:10" x14ac:dyDescent="0.25">
      <c r="A6" t="s">
        <v>14</v>
      </c>
      <c r="B6" t="s">
        <v>561</v>
      </c>
      <c r="C6" t="s">
        <v>602</v>
      </c>
      <c r="D6" t="s">
        <v>1150</v>
      </c>
      <c r="E6">
        <v>2</v>
      </c>
      <c r="F6">
        <v>4</v>
      </c>
      <c r="G6" t="s">
        <v>1164</v>
      </c>
      <c r="H6" t="s">
        <v>1032</v>
      </c>
      <c r="I6">
        <v>9.9</v>
      </c>
      <c r="J6">
        <v>29</v>
      </c>
    </row>
    <row r="7" spans="1:10" x14ac:dyDescent="0.25">
      <c r="A7" t="s">
        <v>15</v>
      </c>
      <c r="B7" t="s">
        <v>561</v>
      </c>
      <c r="C7" t="s">
        <v>603</v>
      </c>
      <c r="D7" t="s">
        <v>1150</v>
      </c>
      <c r="E7">
        <v>2</v>
      </c>
      <c r="F7">
        <v>4</v>
      </c>
      <c r="G7" t="s">
        <v>1164</v>
      </c>
      <c r="H7" t="s">
        <v>1032</v>
      </c>
      <c r="I7">
        <v>10.3</v>
      </c>
      <c r="J7">
        <v>27</v>
      </c>
    </row>
    <row r="8" spans="1:10" x14ac:dyDescent="0.25">
      <c r="A8" t="s">
        <v>16</v>
      </c>
      <c r="B8" t="s">
        <v>561</v>
      </c>
      <c r="C8" t="s">
        <v>604</v>
      </c>
      <c r="D8" t="s">
        <v>1152</v>
      </c>
      <c r="E8">
        <v>2</v>
      </c>
      <c r="F8">
        <v>4</v>
      </c>
      <c r="G8" t="s">
        <v>1164</v>
      </c>
      <c r="H8" t="s">
        <v>1032</v>
      </c>
      <c r="I8">
        <v>9.8000000000000007</v>
      </c>
      <c r="J8">
        <v>29</v>
      </c>
    </row>
    <row r="9" spans="1:10" x14ac:dyDescent="0.25">
      <c r="A9" t="s">
        <v>17</v>
      </c>
      <c r="B9" t="s">
        <v>561</v>
      </c>
      <c r="C9" t="s">
        <v>605</v>
      </c>
      <c r="D9" t="s">
        <v>1152</v>
      </c>
      <c r="E9">
        <v>3</v>
      </c>
      <c r="F9">
        <v>6</v>
      </c>
      <c r="G9" t="s">
        <v>1164</v>
      </c>
      <c r="H9" t="s">
        <v>1032</v>
      </c>
      <c r="I9">
        <v>11.2</v>
      </c>
      <c r="J9">
        <v>25</v>
      </c>
    </row>
    <row r="10" spans="1:10" x14ac:dyDescent="0.25">
      <c r="A10" t="s">
        <v>18</v>
      </c>
      <c r="B10" t="s">
        <v>562</v>
      </c>
      <c r="C10" t="s">
        <v>606</v>
      </c>
      <c r="D10" t="s">
        <v>1153</v>
      </c>
      <c r="E10">
        <v>2</v>
      </c>
      <c r="F10">
        <v>4</v>
      </c>
      <c r="G10" t="s">
        <v>1165</v>
      </c>
      <c r="H10" t="s">
        <v>1032</v>
      </c>
      <c r="I10">
        <v>8.6999999999999993</v>
      </c>
      <c r="J10">
        <v>32</v>
      </c>
    </row>
    <row r="11" spans="1:10" x14ac:dyDescent="0.25">
      <c r="A11" t="s">
        <v>19</v>
      </c>
      <c r="B11" t="s">
        <v>562</v>
      </c>
      <c r="C11" t="s">
        <v>607</v>
      </c>
      <c r="D11" t="s">
        <v>1153</v>
      </c>
      <c r="E11">
        <v>2</v>
      </c>
      <c r="F11">
        <v>4</v>
      </c>
      <c r="G11" t="s">
        <v>1165</v>
      </c>
      <c r="H11" t="s">
        <v>1032</v>
      </c>
      <c r="I11">
        <v>9.1999999999999993</v>
      </c>
      <c r="J11">
        <v>31</v>
      </c>
    </row>
    <row r="12" spans="1:10" x14ac:dyDescent="0.25">
      <c r="A12" t="s">
        <v>20</v>
      </c>
      <c r="B12" t="s">
        <v>562</v>
      </c>
      <c r="C12" t="s">
        <v>608</v>
      </c>
      <c r="D12" t="s">
        <v>1150</v>
      </c>
      <c r="E12">
        <v>2</v>
      </c>
      <c r="F12">
        <v>4</v>
      </c>
      <c r="G12" t="s">
        <v>1165</v>
      </c>
      <c r="H12" t="s">
        <v>1032</v>
      </c>
      <c r="I12">
        <v>9.6</v>
      </c>
      <c r="J12">
        <v>29</v>
      </c>
    </row>
    <row r="13" spans="1:10" x14ac:dyDescent="0.25">
      <c r="A13" t="s">
        <v>21</v>
      </c>
      <c r="B13" t="s">
        <v>562</v>
      </c>
      <c r="C13" t="s">
        <v>609</v>
      </c>
      <c r="D13" t="s">
        <v>1150</v>
      </c>
      <c r="E13">
        <v>2</v>
      </c>
      <c r="F13">
        <v>4</v>
      </c>
      <c r="G13" t="s">
        <v>1166</v>
      </c>
      <c r="H13" t="s">
        <v>1180</v>
      </c>
      <c r="I13">
        <v>9.9</v>
      </c>
      <c r="J13">
        <v>29</v>
      </c>
    </row>
    <row r="14" spans="1:10" x14ac:dyDescent="0.25">
      <c r="A14" t="s">
        <v>22</v>
      </c>
      <c r="B14" t="s">
        <v>563</v>
      </c>
      <c r="C14" t="s">
        <v>610</v>
      </c>
      <c r="D14" t="s">
        <v>1154</v>
      </c>
      <c r="E14">
        <v>4</v>
      </c>
      <c r="F14">
        <v>8</v>
      </c>
      <c r="G14" t="s">
        <v>1165</v>
      </c>
      <c r="H14" t="s">
        <v>1032</v>
      </c>
      <c r="I14">
        <v>13.5</v>
      </c>
      <c r="J14">
        <v>21</v>
      </c>
    </row>
    <row r="15" spans="1:10" x14ac:dyDescent="0.25">
      <c r="A15" t="s">
        <v>23</v>
      </c>
      <c r="B15" t="s">
        <v>563</v>
      </c>
      <c r="C15" t="s">
        <v>611</v>
      </c>
      <c r="D15" t="s">
        <v>1151</v>
      </c>
      <c r="E15">
        <v>4</v>
      </c>
      <c r="F15">
        <v>8</v>
      </c>
      <c r="G15" t="s">
        <v>1166</v>
      </c>
      <c r="H15" t="s">
        <v>1032</v>
      </c>
      <c r="I15">
        <v>14</v>
      </c>
      <c r="J15">
        <v>20</v>
      </c>
    </row>
    <row r="16" spans="1:10" x14ac:dyDescent="0.25">
      <c r="A16" t="s">
        <v>24</v>
      </c>
      <c r="B16" t="s">
        <v>563</v>
      </c>
      <c r="C16" t="s">
        <v>612</v>
      </c>
      <c r="D16" t="s">
        <v>1155</v>
      </c>
      <c r="E16">
        <v>4</v>
      </c>
      <c r="F16">
        <v>8</v>
      </c>
      <c r="G16" t="s">
        <v>1165</v>
      </c>
      <c r="H16" t="s">
        <v>1032</v>
      </c>
      <c r="I16">
        <v>13.1</v>
      </c>
      <c r="J16">
        <v>22</v>
      </c>
    </row>
    <row r="17" spans="1:10" x14ac:dyDescent="0.25">
      <c r="A17" t="s">
        <v>25</v>
      </c>
      <c r="B17" t="s">
        <v>564</v>
      </c>
      <c r="C17" t="s">
        <v>613</v>
      </c>
      <c r="D17" t="s">
        <v>1156</v>
      </c>
      <c r="E17">
        <v>2</v>
      </c>
      <c r="F17">
        <v>4</v>
      </c>
      <c r="G17" t="s">
        <v>1167</v>
      </c>
      <c r="H17" t="s">
        <v>1032</v>
      </c>
      <c r="I17">
        <v>8.5</v>
      </c>
      <c r="J17">
        <v>33</v>
      </c>
    </row>
    <row r="18" spans="1:10" x14ac:dyDescent="0.25">
      <c r="A18" t="s">
        <v>26</v>
      </c>
      <c r="B18" t="s">
        <v>564</v>
      </c>
      <c r="C18" t="s">
        <v>614</v>
      </c>
      <c r="D18" t="s">
        <v>1152</v>
      </c>
      <c r="E18">
        <v>2</v>
      </c>
      <c r="F18">
        <v>4</v>
      </c>
      <c r="G18" t="s">
        <v>1167</v>
      </c>
      <c r="H18" t="s">
        <v>1032</v>
      </c>
      <c r="I18">
        <v>8.8000000000000007</v>
      </c>
      <c r="J18">
        <v>32</v>
      </c>
    </row>
    <row r="19" spans="1:10" x14ac:dyDescent="0.25">
      <c r="A19" t="s">
        <v>27</v>
      </c>
      <c r="B19" t="s">
        <v>564</v>
      </c>
      <c r="C19" t="s">
        <v>615</v>
      </c>
      <c r="D19" t="s">
        <v>1157</v>
      </c>
      <c r="E19">
        <v>2</v>
      </c>
      <c r="F19">
        <v>4</v>
      </c>
      <c r="G19" t="s">
        <v>1167</v>
      </c>
      <c r="H19" t="s">
        <v>1032</v>
      </c>
      <c r="I19">
        <v>9.1999999999999993</v>
      </c>
      <c r="J19">
        <v>31</v>
      </c>
    </row>
    <row r="20" spans="1:10" x14ac:dyDescent="0.25">
      <c r="A20" t="s">
        <v>28</v>
      </c>
      <c r="B20" t="s">
        <v>564</v>
      </c>
      <c r="C20" t="s">
        <v>616</v>
      </c>
      <c r="D20" t="s">
        <v>1156</v>
      </c>
      <c r="E20">
        <v>2</v>
      </c>
      <c r="F20">
        <v>4</v>
      </c>
      <c r="G20" t="s">
        <v>1167</v>
      </c>
      <c r="H20" t="s">
        <v>1032</v>
      </c>
      <c r="I20">
        <v>8.8000000000000007</v>
      </c>
      <c r="J20">
        <v>32</v>
      </c>
    </row>
    <row r="21" spans="1:10" x14ac:dyDescent="0.25">
      <c r="A21" t="s">
        <v>29</v>
      </c>
      <c r="B21" t="s">
        <v>564</v>
      </c>
      <c r="C21" t="s">
        <v>617</v>
      </c>
      <c r="D21" t="s">
        <v>1153</v>
      </c>
      <c r="E21">
        <v>2</v>
      </c>
      <c r="F21">
        <v>4</v>
      </c>
      <c r="G21" t="s">
        <v>1167</v>
      </c>
      <c r="H21" t="s">
        <v>1032</v>
      </c>
      <c r="I21">
        <v>9.1999999999999993</v>
      </c>
      <c r="J21">
        <v>31</v>
      </c>
    </row>
    <row r="22" spans="1:10" x14ac:dyDescent="0.25">
      <c r="A22" t="s">
        <v>30</v>
      </c>
      <c r="B22" t="s">
        <v>564</v>
      </c>
      <c r="C22" t="s">
        <v>618</v>
      </c>
      <c r="D22" t="s">
        <v>1153</v>
      </c>
      <c r="E22">
        <v>2</v>
      </c>
      <c r="F22">
        <v>4</v>
      </c>
      <c r="G22" t="s">
        <v>1167</v>
      </c>
      <c r="H22" t="s">
        <v>1032</v>
      </c>
      <c r="I22">
        <v>8.8000000000000007</v>
      </c>
      <c r="J22">
        <v>32</v>
      </c>
    </row>
    <row r="23" spans="1:10" x14ac:dyDescent="0.25">
      <c r="A23" t="s">
        <v>31</v>
      </c>
      <c r="B23" t="s">
        <v>564</v>
      </c>
      <c r="C23" t="s">
        <v>619</v>
      </c>
      <c r="D23" t="s">
        <v>1153</v>
      </c>
      <c r="E23">
        <v>2</v>
      </c>
      <c r="F23">
        <v>4</v>
      </c>
      <c r="G23" t="s">
        <v>1167</v>
      </c>
      <c r="H23" t="s">
        <v>1032</v>
      </c>
      <c r="I23">
        <v>8.9</v>
      </c>
      <c r="J23">
        <v>32</v>
      </c>
    </row>
    <row r="24" spans="1:10" x14ac:dyDescent="0.25">
      <c r="A24" t="s">
        <v>32</v>
      </c>
      <c r="B24" t="s">
        <v>564</v>
      </c>
      <c r="C24" t="s">
        <v>620</v>
      </c>
      <c r="D24" t="s">
        <v>1153</v>
      </c>
      <c r="E24">
        <v>3</v>
      </c>
      <c r="F24">
        <v>6</v>
      </c>
      <c r="G24" t="s">
        <v>1167</v>
      </c>
      <c r="H24" t="s">
        <v>1032</v>
      </c>
      <c r="I24">
        <v>9.6</v>
      </c>
      <c r="J24">
        <v>29</v>
      </c>
    </row>
    <row r="25" spans="1:10" x14ac:dyDescent="0.25">
      <c r="A25" t="s">
        <v>33</v>
      </c>
      <c r="B25" t="s">
        <v>564</v>
      </c>
      <c r="C25" t="s">
        <v>621</v>
      </c>
      <c r="D25" t="s">
        <v>1158</v>
      </c>
      <c r="E25">
        <v>3</v>
      </c>
      <c r="F25">
        <v>6</v>
      </c>
      <c r="G25" t="s">
        <v>1167</v>
      </c>
      <c r="H25" t="s">
        <v>1032</v>
      </c>
      <c r="I25">
        <v>9.6</v>
      </c>
      <c r="J25">
        <v>29</v>
      </c>
    </row>
    <row r="26" spans="1:10" x14ac:dyDescent="0.25">
      <c r="A26" t="s">
        <v>34</v>
      </c>
      <c r="B26" t="s">
        <v>564</v>
      </c>
      <c r="C26" t="s">
        <v>622</v>
      </c>
      <c r="D26" t="s">
        <v>1153</v>
      </c>
      <c r="E26">
        <v>3</v>
      </c>
      <c r="F26">
        <v>6</v>
      </c>
      <c r="G26" t="s">
        <v>1167</v>
      </c>
      <c r="H26" t="s">
        <v>1032</v>
      </c>
      <c r="I26">
        <v>9.6</v>
      </c>
      <c r="J26">
        <v>29</v>
      </c>
    </row>
    <row r="27" spans="1:10" x14ac:dyDescent="0.25">
      <c r="A27" t="s">
        <v>35</v>
      </c>
      <c r="B27" t="s">
        <v>564</v>
      </c>
      <c r="C27" t="s">
        <v>623</v>
      </c>
      <c r="D27" t="s">
        <v>1149</v>
      </c>
      <c r="E27">
        <v>3</v>
      </c>
      <c r="F27">
        <v>6</v>
      </c>
      <c r="G27" t="s">
        <v>1168</v>
      </c>
      <c r="H27" t="s">
        <v>1032</v>
      </c>
      <c r="I27">
        <v>10.9</v>
      </c>
      <c r="J27">
        <v>26</v>
      </c>
    </row>
    <row r="28" spans="1:10" x14ac:dyDescent="0.25">
      <c r="A28" t="s">
        <v>36</v>
      </c>
      <c r="B28" t="s">
        <v>564</v>
      </c>
      <c r="C28" t="s">
        <v>624</v>
      </c>
      <c r="D28" t="s">
        <v>1150</v>
      </c>
      <c r="E28">
        <v>2</v>
      </c>
      <c r="F28">
        <v>4</v>
      </c>
      <c r="G28" t="s">
        <v>1168</v>
      </c>
      <c r="H28" t="s">
        <v>1180</v>
      </c>
      <c r="I28">
        <v>9.5</v>
      </c>
      <c r="J28">
        <v>30</v>
      </c>
    </row>
    <row r="29" spans="1:10" x14ac:dyDescent="0.25">
      <c r="A29" t="s">
        <v>37</v>
      </c>
      <c r="B29" t="s">
        <v>564</v>
      </c>
      <c r="C29" t="s">
        <v>625</v>
      </c>
      <c r="D29" t="s">
        <v>1150</v>
      </c>
      <c r="E29">
        <v>2</v>
      </c>
      <c r="F29">
        <v>4</v>
      </c>
      <c r="G29" t="s">
        <v>1168</v>
      </c>
      <c r="H29" t="s">
        <v>1180</v>
      </c>
      <c r="I29">
        <v>10.199999999999999</v>
      </c>
      <c r="J29">
        <v>28</v>
      </c>
    </row>
    <row r="30" spans="1:10" x14ac:dyDescent="0.25">
      <c r="A30" t="s">
        <v>38</v>
      </c>
      <c r="B30" t="s">
        <v>564</v>
      </c>
      <c r="C30" t="s">
        <v>626</v>
      </c>
      <c r="D30" t="s">
        <v>1150</v>
      </c>
      <c r="E30">
        <v>2</v>
      </c>
      <c r="F30">
        <v>4</v>
      </c>
      <c r="G30" t="s">
        <v>1167</v>
      </c>
      <c r="H30" t="s">
        <v>1032</v>
      </c>
      <c r="I30">
        <v>9.1999999999999993</v>
      </c>
      <c r="J30">
        <v>31</v>
      </c>
    </row>
    <row r="31" spans="1:10" x14ac:dyDescent="0.25">
      <c r="A31" t="s">
        <v>39</v>
      </c>
      <c r="B31" t="s">
        <v>564</v>
      </c>
      <c r="C31" t="s">
        <v>627</v>
      </c>
      <c r="D31" t="s">
        <v>1150</v>
      </c>
      <c r="E31">
        <v>2</v>
      </c>
      <c r="F31">
        <v>4</v>
      </c>
      <c r="G31" t="s">
        <v>1167</v>
      </c>
      <c r="H31" t="s">
        <v>1032</v>
      </c>
      <c r="I31">
        <v>9.6</v>
      </c>
      <c r="J31">
        <v>29</v>
      </c>
    </row>
    <row r="32" spans="1:10" x14ac:dyDescent="0.25">
      <c r="A32" t="s">
        <v>40</v>
      </c>
      <c r="B32" t="s">
        <v>564</v>
      </c>
      <c r="C32" t="s">
        <v>628</v>
      </c>
      <c r="D32" t="s">
        <v>1150</v>
      </c>
      <c r="E32">
        <v>2</v>
      </c>
      <c r="F32">
        <v>4</v>
      </c>
      <c r="G32" t="s">
        <v>1167</v>
      </c>
      <c r="H32" t="s">
        <v>1032</v>
      </c>
      <c r="I32">
        <v>9.6</v>
      </c>
      <c r="J32">
        <v>29</v>
      </c>
    </row>
    <row r="33" spans="1:10" x14ac:dyDescent="0.25">
      <c r="A33" t="s">
        <v>41</v>
      </c>
      <c r="B33" t="s">
        <v>564</v>
      </c>
      <c r="C33" t="s">
        <v>629</v>
      </c>
      <c r="D33" t="s">
        <v>1150</v>
      </c>
      <c r="E33">
        <v>2</v>
      </c>
      <c r="F33">
        <v>4</v>
      </c>
      <c r="G33" t="s">
        <v>1167</v>
      </c>
      <c r="H33" t="s">
        <v>1032</v>
      </c>
      <c r="I33">
        <v>9.9</v>
      </c>
      <c r="J33">
        <v>29</v>
      </c>
    </row>
    <row r="34" spans="1:10" x14ac:dyDescent="0.25">
      <c r="A34" t="s">
        <v>42</v>
      </c>
      <c r="B34" t="s">
        <v>564</v>
      </c>
      <c r="C34" t="s">
        <v>630</v>
      </c>
      <c r="D34" t="s">
        <v>1150</v>
      </c>
      <c r="E34">
        <v>2</v>
      </c>
      <c r="F34">
        <v>4</v>
      </c>
      <c r="G34" t="s">
        <v>1167</v>
      </c>
      <c r="H34" t="s">
        <v>1032</v>
      </c>
      <c r="I34">
        <v>9.9</v>
      </c>
      <c r="J34">
        <v>29</v>
      </c>
    </row>
    <row r="35" spans="1:10" x14ac:dyDescent="0.25">
      <c r="A35" t="s">
        <v>43</v>
      </c>
      <c r="B35" t="s">
        <v>564</v>
      </c>
      <c r="C35" t="s">
        <v>631</v>
      </c>
      <c r="D35" t="s">
        <v>1151</v>
      </c>
      <c r="E35">
        <v>2</v>
      </c>
      <c r="F35">
        <v>4</v>
      </c>
      <c r="G35" t="s">
        <v>1168</v>
      </c>
      <c r="H35" t="s">
        <v>1032</v>
      </c>
      <c r="I35">
        <v>10.7</v>
      </c>
      <c r="J35">
        <v>26</v>
      </c>
    </row>
    <row r="36" spans="1:10" x14ac:dyDescent="0.25">
      <c r="A36" t="s">
        <v>44</v>
      </c>
      <c r="B36" t="s">
        <v>564</v>
      </c>
      <c r="C36" t="s">
        <v>632</v>
      </c>
      <c r="D36" t="s">
        <v>1151</v>
      </c>
      <c r="E36">
        <v>3</v>
      </c>
      <c r="F36">
        <v>6</v>
      </c>
      <c r="G36" t="s">
        <v>1168</v>
      </c>
      <c r="H36" t="s">
        <v>1032</v>
      </c>
      <c r="I36">
        <v>11.7</v>
      </c>
      <c r="J36">
        <v>24</v>
      </c>
    </row>
    <row r="37" spans="1:10" x14ac:dyDescent="0.25">
      <c r="A37" t="s">
        <v>45</v>
      </c>
      <c r="B37" t="s">
        <v>564</v>
      </c>
      <c r="C37" t="s">
        <v>633</v>
      </c>
      <c r="D37" t="s">
        <v>1156</v>
      </c>
      <c r="E37">
        <v>2.5</v>
      </c>
      <c r="F37">
        <v>5</v>
      </c>
      <c r="G37" t="s">
        <v>1167</v>
      </c>
      <c r="H37" t="s">
        <v>1032</v>
      </c>
      <c r="I37">
        <v>10.199999999999999</v>
      </c>
      <c r="J37">
        <v>28</v>
      </c>
    </row>
    <row r="38" spans="1:10" x14ac:dyDescent="0.25">
      <c r="A38" t="s">
        <v>46</v>
      </c>
      <c r="B38" t="s">
        <v>564</v>
      </c>
      <c r="C38" t="s">
        <v>634</v>
      </c>
      <c r="D38" t="s">
        <v>1156</v>
      </c>
      <c r="E38">
        <v>2.9</v>
      </c>
      <c r="F38">
        <v>6</v>
      </c>
      <c r="G38" t="s">
        <v>1168</v>
      </c>
      <c r="H38" t="s">
        <v>1032</v>
      </c>
      <c r="I38">
        <v>11.3</v>
      </c>
      <c r="J38">
        <v>25</v>
      </c>
    </row>
    <row r="39" spans="1:10" x14ac:dyDescent="0.25">
      <c r="A39" t="s">
        <v>47</v>
      </c>
      <c r="B39" t="s">
        <v>564</v>
      </c>
      <c r="C39" t="s">
        <v>635</v>
      </c>
      <c r="D39" t="s">
        <v>1153</v>
      </c>
      <c r="E39">
        <v>2.9</v>
      </c>
      <c r="F39">
        <v>6</v>
      </c>
      <c r="G39" t="s">
        <v>1168</v>
      </c>
      <c r="H39" t="s">
        <v>1032</v>
      </c>
      <c r="I39">
        <v>11.6</v>
      </c>
      <c r="J39">
        <v>24</v>
      </c>
    </row>
    <row r="40" spans="1:10" x14ac:dyDescent="0.25">
      <c r="A40" t="s">
        <v>48</v>
      </c>
      <c r="B40" t="s">
        <v>564</v>
      </c>
      <c r="C40" t="s">
        <v>636</v>
      </c>
      <c r="D40" t="s">
        <v>1158</v>
      </c>
      <c r="E40">
        <v>4</v>
      </c>
      <c r="F40">
        <v>8</v>
      </c>
      <c r="G40" t="s">
        <v>1168</v>
      </c>
      <c r="H40" t="s">
        <v>1032</v>
      </c>
      <c r="I40">
        <v>14.3</v>
      </c>
      <c r="J40">
        <v>20</v>
      </c>
    </row>
    <row r="41" spans="1:10" x14ac:dyDescent="0.25">
      <c r="A41" t="s">
        <v>49</v>
      </c>
      <c r="B41" t="s">
        <v>564</v>
      </c>
      <c r="C41" t="s">
        <v>637</v>
      </c>
      <c r="D41" t="s">
        <v>1158</v>
      </c>
      <c r="E41">
        <v>4</v>
      </c>
      <c r="F41">
        <v>8</v>
      </c>
      <c r="G41" t="s">
        <v>1168</v>
      </c>
      <c r="H41" t="s">
        <v>1032</v>
      </c>
      <c r="I41">
        <v>14.3</v>
      </c>
      <c r="J41">
        <v>20</v>
      </c>
    </row>
    <row r="42" spans="1:10" x14ac:dyDescent="0.25">
      <c r="A42" t="s">
        <v>50</v>
      </c>
      <c r="B42" t="s">
        <v>564</v>
      </c>
      <c r="C42" t="s">
        <v>638</v>
      </c>
      <c r="D42" t="s">
        <v>1153</v>
      </c>
      <c r="E42">
        <v>4</v>
      </c>
      <c r="F42">
        <v>8</v>
      </c>
      <c r="G42" t="s">
        <v>1168</v>
      </c>
      <c r="H42" t="s">
        <v>1032</v>
      </c>
      <c r="I42">
        <v>14.3</v>
      </c>
      <c r="J42">
        <v>20</v>
      </c>
    </row>
    <row r="43" spans="1:10" x14ac:dyDescent="0.25">
      <c r="A43" t="s">
        <v>51</v>
      </c>
      <c r="B43" t="s">
        <v>564</v>
      </c>
      <c r="C43" t="s">
        <v>639</v>
      </c>
      <c r="D43" t="s">
        <v>1151</v>
      </c>
      <c r="E43">
        <v>4</v>
      </c>
      <c r="F43">
        <v>8</v>
      </c>
      <c r="G43" t="s">
        <v>1168</v>
      </c>
      <c r="H43" t="s">
        <v>1032</v>
      </c>
      <c r="I43">
        <v>14.1</v>
      </c>
      <c r="J43">
        <v>20</v>
      </c>
    </row>
    <row r="44" spans="1:10" x14ac:dyDescent="0.25">
      <c r="A44" t="s">
        <v>52</v>
      </c>
      <c r="B44" t="s">
        <v>564</v>
      </c>
      <c r="C44" t="s">
        <v>640</v>
      </c>
      <c r="D44" t="s">
        <v>1156</v>
      </c>
      <c r="E44">
        <v>2</v>
      </c>
      <c r="F44">
        <v>4</v>
      </c>
      <c r="G44" t="s">
        <v>1167</v>
      </c>
      <c r="H44" t="s">
        <v>1032</v>
      </c>
      <c r="I44">
        <v>9.1</v>
      </c>
      <c r="J44">
        <v>31</v>
      </c>
    </row>
    <row r="45" spans="1:10" x14ac:dyDescent="0.25">
      <c r="A45" t="s">
        <v>53</v>
      </c>
      <c r="B45" t="s">
        <v>564</v>
      </c>
      <c r="C45" t="s">
        <v>641</v>
      </c>
      <c r="D45" t="s">
        <v>1152</v>
      </c>
      <c r="E45">
        <v>3</v>
      </c>
      <c r="F45">
        <v>6</v>
      </c>
      <c r="G45" t="s">
        <v>1168</v>
      </c>
      <c r="H45" t="s">
        <v>1032</v>
      </c>
      <c r="I45">
        <v>9.6999999999999993</v>
      </c>
      <c r="J45">
        <v>29</v>
      </c>
    </row>
    <row r="46" spans="1:10" x14ac:dyDescent="0.25">
      <c r="A46" t="s">
        <v>54</v>
      </c>
      <c r="B46" t="s">
        <v>564</v>
      </c>
      <c r="C46" t="s">
        <v>642</v>
      </c>
      <c r="D46" t="s">
        <v>1156</v>
      </c>
      <c r="E46">
        <v>3</v>
      </c>
      <c r="F46">
        <v>6</v>
      </c>
      <c r="G46" t="s">
        <v>1168</v>
      </c>
      <c r="H46" t="s">
        <v>1032</v>
      </c>
      <c r="I46">
        <v>9.6999999999999993</v>
      </c>
      <c r="J46">
        <v>29</v>
      </c>
    </row>
    <row r="47" spans="1:10" x14ac:dyDescent="0.25">
      <c r="A47" t="s">
        <v>55</v>
      </c>
      <c r="B47" t="s">
        <v>564</v>
      </c>
      <c r="C47" t="s">
        <v>643</v>
      </c>
      <c r="D47" t="s">
        <v>1153</v>
      </c>
      <c r="E47">
        <v>3</v>
      </c>
      <c r="F47">
        <v>6</v>
      </c>
      <c r="G47" t="s">
        <v>1167</v>
      </c>
      <c r="H47" t="s">
        <v>1032</v>
      </c>
      <c r="I47">
        <v>10.5</v>
      </c>
      <c r="J47">
        <v>27</v>
      </c>
    </row>
    <row r="48" spans="1:10" x14ac:dyDescent="0.25">
      <c r="A48" t="s">
        <v>56</v>
      </c>
      <c r="B48" t="s">
        <v>564</v>
      </c>
      <c r="C48" t="s">
        <v>644</v>
      </c>
      <c r="D48" t="s">
        <v>1153</v>
      </c>
      <c r="E48">
        <v>3</v>
      </c>
      <c r="F48">
        <v>6</v>
      </c>
      <c r="G48" t="s">
        <v>1168</v>
      </c>
      <c r="H48" t="s">
        <v>1032</v>
      </c>
      <c r="I48">
        <v>10.199999999999999</v>
      </c>
      <c r="J48">
        <v>28</v>
      </c>
    </row>
    <row r="49" spans="1:10" x14ac:dyDescent="0.25">
      <c r="A49" t="s">
        <v>57</v>
      </c>
      <c r="B49" t="s">
        <v>564</v>
      </c>
      <c r="C49" t="s">
        <v>645</v>
      </c>
      <c r="D49" t="s">
        <v>1153</v>
      </c>
      <c r="E49">
        <v>2.9</v>
      </c>
      <c r="F49">
        <v>6</v>
      </c>
      <c r="G49" t="s">
        <v>1168</v>
      </c>
      <c r="H49" t="s">
        <v>1032</v>
      </c>
      <c r="I49">
        <v>10.8</v>
      </c>
      <c r="J49">
        <v>26</v>
      </c>
    </row>
    <row r="50" spans="1:10" x14ac:dyDescent="0.25">
      <c r="A50" t="s">
        <v>58</v>
      </c>
      <c r="B50" t="s">
        <v>564</v>
      </c>
      <c r="C50" t="s">
        <v>646</v>
      </c>
      <c r="D50" t="s">
        <v>1153</v>
      </c>
      <c r="E50">
        <v>2.9</v>
      </c>
      <c r="F50">
        <v>6</v>
      </c>
      <c r="G50" t="s">
        <v>1168</v>
      </c>
      <c r="H50" t="s">
        <v>1032</v>
      </c>
      <c r="I50">
        <v>10.8</v>
      </c>
      <c r="J50">
        <v>26</v>
      </c>
    </row>
    <row r="51" spans="1:10" x14ac:dyDescent="0.25">
      <c r="A51" t="s">
        <v>59</v>
      </c>
      <c r="B51" t="s">
        <v>564</v>
      </c>
      <c r="C51" t="s">
        <v>647</v>
      </c>
      <c r="D51" t="s">
        <v>1149</v>
      </c>
      <c r="E51">
        <v>4</v>
      </c>
      <c r="F51">
        <v>8</v>
      </c>
      <c r="G51" t="s">
        <v>1168</v>
      </c>
      <c r="H51" t="s">
        <v>1032</v>
      </c>
      <c r="I51">
        <v>13.3</v>
      </c>
      <c r="J51">
        <v>21</v>
      </c>
    </row>
    <row r="52" spans="1:10" x14ac:dyDescent="0.25">
      <c r="A52" t="s">
        <v>60</v>
      </c>
      <c r="B52" t="s">
        <v>564</v>
      </c>
      <c r="C52" t="s">
        <v>648</v>
      </c>
      <c r="D52" t="s">
        <v>1150</v>
      </c>
      <c r="E52">
        <v>3</v>
      </c>
      <c r="F52">
        <v>6</v>
      </c>
      <c r="G52" t="s">
        <v>1168</v>
      </c>
      <c r="H52" t="s">
        <v>1032</v>
      </c>
      <c r="I52">
        <v>11.4</v>
      </c>
      <c r="J52">
        <v>25</v>
      </c>
    </row>
    <row r="53" spans="1:10" x14ac:dyDescent="0.25">
      <c r="A53" t="s">
        <v>61</v>
      </c>
      <c r="B53" t="s">
        <v>564</v>
      </c>
      <c r="C53" t="s">
        <v>649</v>
      </c>
      <c r="D53" t="s">
        <v>1150</v>
      </c>
      <c r="E53">
        <v>3</v>
      </c>
      <c r="F53">
        <v>6</v>
      </c>
      <c r="G53" t="s">
        <v>1168</v>
      </c>
      <c r="H53" t="s">
        <v>1032</v>
      </c>
      <c r="I53">
        <v>11.4</v>
      </c>
      <c r="J53">
        <v>25</v>
      </c>
    </row>
    <row r="54" spans="1:10" x14ac:dyDescent="0.25">
      <c r="A54" t="s">
        <v>62</v>
      </c>
      <c r="B54" t="s">
        <v>564</v>
      </c>
      <c r="C54" t="s">
        <v>650</v>
      </c>
      <c r="D54" t="s">
        <v>1150</v>
      </c>
      <c r="E54">
        <v>3</v>
      </c>
      <c r="F54">
        <v>6</v>
      </c>
      <c r="G54" t="s">
        <v>1167</v>
      </c>
      <c r="H54" t="s">
        <v>1032</v>
      </c>
      <c r="I54">
        <v>10.7</v>
      </c>
      <c r="J54">
        <v>26</v>
      </c>
    </row>
    <row r="55" spans="1:10" x14ac:dyDescent="0.25">
      <c r="A55" t="s">
        <v>63</v>
      </c>
      <c r="B55" t="s">
        <v>564</v>
      </c>
      <c r="C55" t="s">
        <v>651</v>
      </c>
      <c r="D55" t="s">
        <v>1150</v>
      </c>
      <c r="E55">
        <v>3</v>
      </c>
      <c r="F55">
        <v>6</v>
      </c>
      <c r="G55" t="s">
        <v>1167</v>
      </c>
      <c r="H55" t="s">
        <v>1032</v>
      </c>
      <c r="I55">
        <v>10.7</v>
      </c>
      <c r="J55">
        <v>26</v>
      </c>
    </row>
    <row r="56" spans="1:10" x14ac:dyDescent="0.25">
      <c r="A56" t="s">
        <v>64</v>
      </c>
      <c r="B56" t="s">
        <v>564</v>
      </c>
      <c r="C56" t="s">
        <v>652</v>
      </c>
      <c r="D56" t="s">
        <v>1151</v>
      </c>
      <c r="E56">
        <v>4</v>
      </c>
      <c r="F56">
        <v>8</v>
      </c>
      <c r="G56" t="s">
        <v>1168</v>
      </c>
      <c r="H56" t="s">
        <v>1032</v>
      </c>
      <c r="I56">
        <v>13.8</v>
      </c>
      <c r="J56">
        <v>20</v>
      </c>
    </row>
    <row r="57" spans="1:10" x14ac:dyDescent="0.25">
      <c r="A57" t="s">
        <v>65</v>
      </c>
      <c r="B57" t="s">
        <v>564</v>
      </c>
      <c r="C57" t="s">
        <v>653</v>
      </c>
      <c r="D57" t="s">
        <v>1151</v>
      </c>
      <c r="E57">
        <v>4</v>
      </c>
      <c r="F57">
        <v>8</v>
      </c>
      <c r="G57" t="s">
        <v>1168</v>
      </c>
      <c r="H57" t="s">
        <v>1032</v>
      </c>
      <c r="I57">
        <v>14.2</v>
      </c>
      <c r="J57">
        <v>20</v>
      </c>
    </row>
    <row r="58" spans="1:10" x14ac:dyDescent="0.25">
      <c r="A58" t="s">
        <v>66</v>
      </c>
      <c r="B58" t="s">
        <v>565</v>
      </c>
      <c r="C58" t="s">
        <v>654</v>
      </c>
      <c r="D58" t="s">
        <v>1151</v>
      </c>
      <c r="E58">
        <v>4</v>
      </c>
      <c r="F58">
        <v>8</v>
      </c>
      <c r="G58" t="s">
        <v>1168</v>
      </c>
      <c r="H58" t="s">
        <v>1032</v>
      </c>
      <c r="I58">
        <v>14.6</v>
      </c>
      <c r="J58">
        <v>19</v>
      </c>
    </row>
    <row r="59" spans="1:10" x14ac:dyDescent="0.25">
      <c r="A59" t="s">
        <v>67</v>
      </c>
      <c r="B59" t="s">
        <v>565</v>
      </c>
      <c r="C59" t="s">
        <v>655</v>
      </c>
      <c r="D59" t="s">
        <v>1151</v>
      </c>
      <c r="E59">
        <v>4</v>
      </c>
      <c r="F59">
        <v>8</v>
      </c>
      <c r="G59" t="s">
        <v>1168</v>
      </c>
      <c r="H59" t="s">
        <v>1032</v>
      </c>
      <c r="I59">
        <v>14.6</v>
      </c>
      <c r="J59">
        <v>19</v>
      </c>
    </row>
    <row r="60" spans="1:10" x14ac:dyDescent="0.25">
      <c r="A60" t="s">
        <v>68</v>
      </c>
      <c r="B60" t="s">
        <v>566</v>
      </c>
      <c r="C60" t="s">
        <v>656</v>
      </c>
      <c r="D60" t="s">
        <v>1156</v>
      </c>
      <c r="E60">
        <v>2</v>
      </c>
      <c r="F60">
        <v>4</v>
      </c>
      <c r="G60" t="s">
        <v>1168</v>
      </c>
      <c r="H60" t="s">
        <v>1032</v>
      </c>
      <c r="I60">
        <v>8.4</v>
      </c>
      <c r="J60">
        <v>34</v>
      </c>
    </row>
    <row r="61" spans="1:10" x14ac:dyDescent="0.25">
      <c r="A61" t="s">
        <v>69</v>
      </c>
      <c r="B61" t="s">
        <v>566</v>
      </c>
      <c r="C61" t="s">
        <v>657</v>
      </c>
      <c r="D61" t="s">
        <v>1152</v>
      </c>
      <c r="E61">
        <v>2</v>
      </c>
      <c r="F61">
        <v>4</v>
      </c>
      <c r="G61" t="s">
        <v>1168</v>
      </c>
      <c r="H61" t="s">
        <v>1032</v>
      </c>
      <c r="I61">
        <v>8</v>
      </c>
      <c r="J61">
        <v>35</v>
      </c>
    </row>
    <row r="62" spans="1:10" x14ac:dyDescent="0.25">
      <c r="A62" t="s">
        <v>70</v>
      </c>
      <c r="B62" t="s">
        <v>566</v>
      </c>
      <c r="C62" t="s">
        <v>658</v>
      </c>
      <c r="D62" t="s">
        <v>1156</v>
      </c>
      <c r="E62">
        <v>2</v>
      </c>
      <c r="F62">
        <v>4</v>
      </c>
      <c r="G62" t="s">
        <v>1168</v>
      </c>
      <c r="H62" t="s">
        <v>1032</v>
      </c>
      <c r="I62">
        <v>8.5</v>
      </c>
      <c r="J62">
        <v>33</v>
      </c>
    </row>
    <row r="63" spans="1:10" x14ac:dyDescent="0.25">
      <c r="A63" t="s">
        <v>71</v>
      </c>
      <c r="B63" t="s">
        <v>566</v>
      </c>
      <c r="C63" t="s">
        <v>659</v>
      </c>
      <c r="D63" t="s">
        <v>1156</v>
      </c>
      <c r="E63">
        <v>2</v>
      </c>
      <c r="F63">
        <v>4</v>
      </c>
      <c r="G63" t="s">
        <v>1168</v>
      </c>
      <c r="H63" t="s">
        <v>1032</v>
      </c>
      <c r="I63">
        <v>7.9</v>
      </c>
      <c r="J63">
        <v>36</v>
      </c>
    </row>
    <row r="64" spans="1:10" x14ac:dyDescent="0.25">
      <c r="A64" t="s">
        <v>72</v>
      </c>
      <c r="B64" t="s">
        <v>566</v>
      </c>
      <c r="C64" t="s">
        <v>660</v>
      </c>
      <c r="D64" t="s">
        <v>1153</v>
      </c>
      <c r="E64">
        <v>2</v>
      </c>
      <c r="F64">
        <v>4</v>
      </c>
      <c r="G64" t="s">
        <v>1168</v>
      </c>
      <c r="H64" t="s">
        <v>1032</v>
      </c>
      <c r="I64">
        <v>7.9</v>
      </c>
      <c r="J64">
        <v>36</v>
      </c>
    </row>
    <row r="65" spans="1:10" x14ac:dyDescent="0.25">
      <c r="A65" t="s">
        <v>73</v>
      </c>
      <c r="B65" t="s">
        <v>566</v>
      </c>
      <c r="C65" t="s">
        <v>661</v>
      </c>
      <c r="D65" t="s">
        <v>1149</v>
      </c>
      <c r="E65">
        <v>4.4000000000000004</v>
      </c>
      <c r="F65">
        <v>8</v>
      </c>
      <c r="G65" t="s">
        <v>1168</v>
      </c>
      <c r="H65" t="s">
        <v>1032</v>
      </c>
      <c r="I65">
        <v>11.5</v>
      </c>
      <c r="J65">
        <v>25</v>
      </c>
    </row>
    <row r="66" spans="1:10" x14ac:dyDescent="0.25">
      <c r="A66" t="s">
        <v>74</v>
      </c>
      <c r="B66" t="s">
        <v>566</v>
      </c>
      <c r="C66" t="s">
        <v>662</v>
      </c>
      <c r="D66" t="s">
        <v>1151</v>
      </c>
      <c r="E66">
        <v>4.4000000000000004</v>
      </c>
      <c r="F66">
        <v>8</v>
      </c>
      <c r="G66" t="s">
        <v>1168</v>
      </c>
      <c r="H66" t="s">
        <v>1032</v>
      </c>
      <c r="I66">
        <v>13.6</v>
      </c>
      <c r="J66">
        <v>21</v>
      </c>
    </row>
    <row r="67" spans="1:10" x14ac:dyDescent="0.25">
      <c r="A67" t="s">
        <v>75</v>
      </c>
      <c r="B67" t="s">
        <v>566</v>
      </c>
      <c r="C67" t="s">
        <v>663</v>
      </c>
      <c r="D67" t="s">
        <v>1156</v>
      </c>
      <c r="E67">
        <v>3</v>
      </c>
      <c r="F67">
        <v>6</v>
      </c>
      <c r="G67" t="s">
        <v>1168</v>
      </c>
      <c r="H67" t="s">
        <v>1032</v>
      </c>
      <c r="I67">
        <v>12.5</v>
      </c>
      <c r="J67">
        <v>23</v>
      </c>
    </row>
    <row r="68" spans="1:10" x14ac:dyDescent="0.25">
      <c r="A68" t="s">
        <v>76</v>
      </c>
      <c r="B68" t="s">
        <v>566</v>
      </c>
      <c r="C68" t="s">
        <v>664</v>
      </c>
      <c r="D68" t="s">
        <v>1156</v>
      </c>
      <c r="E68">
        <v>3</v>
      </c>
      <c r="F68">
        <v>6</v>
      </c>
      <c r="G68" t="s">
        <v>1168</v>
      </c>
      <c r="H68" t="s">
        <v>1032</v>
      </c>
      <c r="I68">
        <v>9</v>
      </c>
      <c r="J68">
        <v>31</v>
      </c>
    </row>
    <row r="69" spans="1:10" x14ac:dyDescent="0.25">
      <c r="A69" t="s">
        <v>77</v>
      </c>
      <c r="B69" t="s">
        <v>566</v>
      </c>
      <c r="C69" t="s">
        <v>665</v>
      </c>
      <c r="D69" t="s">
        <v>1152</v>
      </c>
      <c r="E69">
        <v>3</v>
      </c>
      <c r="F69">
        <v>6</v>
      </c>
      <c r="G69" t="s">
        <v>1163</v>
      </c>
      <c r="H69" t="s">
        <v>1032</v>
      </c>
      <c r="I69">
        <v>12.6</v>
      </c>
      <c r="J69">
        <v>22</v>
      </c>
    </row>
    <row r="70" spans="1:10" x14ac:dyDescent="0.25">
      <c r="A70" t="s">
        <v>78</v>
      </c>
      <c r="B70" t="s">
        <v>566</v>
      </c>
      <c r="C70" t="s">
        <v>666</v>
      </c>
      <c r="D70" t="s">
        <v>1152</v>
      </c>
      <c r="E70">
        <v>3</v>
      </c>
      <c r="F70">
        <v>6</v>
      </c>
      <c r="G70" t="s">
        <v>1168</v>
      </c>
      <c r="H70" t="s">
        <v>1032</v>
      </c>
      <c r="I70">
        <v>12.6</v>
      </c>
      <c r="J70">
        <v>22</v>
      </c>
    </row>
    <row r="71" spans="1:10" x14ac:dyDescent="0.25">
      <c r="A71" t="s">
        <v>79</v>
      </c>
      <c r="B71" t="s">
        <v>566</v>
      </c>
      <c r="C71" t="s">
        <v>667</v>
      </c>
      <c r="D71" t="s">
        <v>1152</v>
      </c>
      <c r="E71">
        <v>3</v>
      </c>
      <c r="F71">
        <v>6</v>
      </c>
      <c r="G71" t="s">
        <v>1168</v>
      </c>
      <c r="H71" t="s">
        <v>1032</v>
      </c>
      <c r="I71">
        <v>12.8</v>
      </c>
      <c r="J71">
        <v>22</v>
      </c>
    </row>
    <row r="72" spans="1:10" x14ac:dyDescent="0.25">
      <c r="A72" t="s">
        <v>80</v>
      </c>
      <c r="B72" t="s">
        <v>566</v>
      </c>
      <c r="C72" t="s">
        <v>668</v>
      </c>
      <c r="D72" t="s">
        <v>1152</v>
      </c>
      <c r="E72">
        <v>3</v>
      </c>
      <c r="F72">
        <v>6</v>
      </c>
      <c r="G72" t="s">
        <v>1168</v>
      </c>
      <c r="H72" t="s">
        <v>1032</v>
      </c>
      <c r="I72">
        <v>8.1999999999999993</v>
      </c>
      <c r="J72">
        <v>34</v>
      </c>
    </row>
    <row r="73" spans="1:10" x14ac:dyDescent="0.25">
      <c r="A73" t="s">
        <v>81</v>
      </c>
      <c r="B73" t="s">
        <v>566</v>
      </c>
      <c r="C73" t="s">
        <v>669</v>
      </c>
      <c r="D73" t="s">
        <v>1156</v>
      </c>
      <c r="E73">
        <v>3</v>
      </c>
      <c r="F73">
        <v>6</v>
      </c>
      <c r="G73" t="s">
        <v>1163</v>
      </c>
      <c r="H73" t="s">
        <v>1032</v>
      </c>
      <c r="I73">
        <v>12.6</v>
      </c>
      <c r="J73">
        <v>22</v>
      </c>
    </row>
    <row r="74" spans="1:10" x14ac:dyDescent="0.25">
      <c r="A74" t="s">
        <v>82</v>
      </c>
      <c r="B74" t="s">
        <v>566</v>
      </c>
      <c r="C74" t="s">
        <v>670</v>
      </c>
      <c r="D74" t="s">
        <v>1156</v>
      </c>
      <c r="E74">
        <v>3</v>
      </c>
      <c r="F74">
        <v>6</v>
      </c>
      <c r="G74" t="s">
        <v>1168</v>
      </c>
      <c r="H74" t="s">
        <v>1032</v>
      </c>
      <c r="I74">
        <v>12.6</v>
      </c>
      <c r="J74">
        <v>22</v>
      </c>
    </row>
    <row r="75" spans="1:10" x14ac:dyDescent="0.25">
      <c r="A75" t="s">
        <v>83</v>
      </c>
      <c r="B75" t="s">
        <v>566</v>
      </c>
      <c r="C75" t="s">
        <v>671</v>
      </c>
      <c r="D75" t="s">
        <v>1156</v>
      </c>
      <c r="E75">
        <v>3</v>
      </c>
      <c r="F75">
        <v>6</v>
      </c>
      <c r="G75" t="s">
        <v>1168</v>
      </c>
      <c r="H75" t="s">
        <v>1032</v>
      </c>
      <c r="I75">
        <v>12.9</v>
      </c>
      <c r="J75">
        <v>22</v>
      </c>
    </row>
    <row r="76" spans="1:10" x14ac:dyDescent="0.25">
      <c r="A76" t="s">
        <v>84</v>
      </c>
      <c r="B76" t="s">
        <v>566</v>
      </c>
      <c r="C76" t="s">
        <v>672</v>
      </c>
      <c r="D76" t="s">
        <v>1156</v>
      </c>
      <c r="E76">
        <v>3</v>
      </c>
      <c r="F76">
        <v>6</v>
      </c>
      <c r="G76" t="s">
        <v>1168</v>
      </c>
      <c r="H76" t="s">
        <v>1032</v>
      </c>
      <c r="I76">
        <v>12.7</v>
      </c>
      <c r="J76">
        <v>22</v>
      </c>
    </row>
    <row r="77" spans="1:10" x14ac:dyDescent="0.25">
      <c r="A77" t="s">
        <v>85</v>
      </c>
      <c r="B77" t="s">
        <v>566</v>
      </c>
      <c r="C77" t="s">
        <v>673</v>
      </c>
      <c r="D77" t="s">
        <v>1156</v>
      </c>
      <c r="E77">
        <v>3</v>
      </c>
      <c r="F77">
        <v>6</v>
      </c>
      <c r="G77" t="s">
        <v>1168</v>
      </c>
      <c r="H77" t="s">
        <v>1032</v>
      </c>
      <c r="I77">
        <v>12.9</v>
      </c>
      <c r="J77">
        <v>22</v>
      </c>
    </row>
    <row r="78" spans="1:10" x14ac:dyDescent="0.25">
      <c r="A78" t="s">
        <v>86</v>
      </c>
      <c r="B78" t="s">
        <v>566</v>
      </c>
      <c r="C78" t="s">
        <v>674</v>
      </c>
      <c r="D78" t="s">
        <v>1156</v>
      </c>
      <c r="E78">
        <v>3</v>
      </c>
      <c r="F78">
        <v>6</v>
      </c>
      <c r="G78" t="s">
        <v>1168</v>
      </c>
      <c r="H78" t="s">
        <v>1032</v>
      </c>
      <c r="I78">
        <v>8.4</v>
      </c>
      <c r="J78">
        <v>34</v>
      </c>
    </row>
    <row r="79" spans="1:10" x14ac:dyDescent="0.25">
      <c r="A79" t="s">
        <v>87</v>
      </c>
      <c r="B79" t="s">
        <v>566</v>
      </c>
      <c r="C79" t="s">
        <v>675</v>
      </c>
      <c r="D79" t="s">
        <v>1156</v>
      </c>
      <c r="E79">
        <v>3</v>
      </c>
      <c r="F79">
        <v>6</v>
      </c>
      <c r="G79" t="s">
        <v>1168</v>
      </c>
      <c r="H79" t="s">
        <v>1032</v>
      </c>
      <c r="I79">
        <v>8.1</v>
      </c>
      <c r="J79">
        <v>35</v>
      </c>
    </row>
    <row r="80" spans="1:10" x14ac:dyDescent="0.25">
      <c r="A80" t="s">
        <v>88</v>
      </c>
      <c r="B80" t="s">
        <v>566</v>
      </c>
      <c r="C80" t="s">
        <v>676</v>
      </c>
      <c r="D80" t="s">
        <v>1156</v>
      </c>
      <c r="E80">
        <v>4.4000000000000004</v>
      </c>
      <c r="F80">
        <v>8</v>
      </c>
      <c r="G80" t="s">
        <v>1168</v>
      </c>
      <c r="H80" t="s">
        <v>1032</v>
      </c>
      <c r="I80">
        <v>13.8</v>
      </c>
      <c r="J80">
        <v>20</v>
      </c>
    </row>
    <row r="81" spans="1:10" x14ac:dyDescent="0.25">
      <c r="A81" t="s">
        <v>89</v>
      </c>
      <c r="B81" t="s">
        <v>566</v>
      </c>
      <c r="C81" t="s">
        <v>677</v>
      </c>
      <c r="D81" t="s">
        <v>1156</v>
      </c>
      <c r="E81">
        <v>4.4000000000000004</v>
      </c>
      <c r="F81">
        <v>8</v>
      </c>
      <c r="G81" t="s">
        <v>1168</v>
      </c>
      <c r="H81" t="s">
        <v>1032</v>
      </c>
      <c r="I81">
        <v>13.8</v>
      </c>
      <c r="J81">
        <v>20</v>
      </c>
    </row>
    <row r="82" spans="1:10" x14ac:dyDescent="0.25">
      <c r="A82" t="s">
        <v>90</v>
      </c>
      <c r="B82" t="s">
        <v>566</v>
      </c>
      <c r="C82" t="s">
        <v>678</v>
      </c>
      <c r="D82" t="s">
        <v>1153</v>
      </c>
      <c r="E82">
        <v>4.4000000000000004</v>
      </c>
      <c r="F82">
        <v>8</v>
      </c>
      <c r="G82" t="s">
        <v>1168</v>
      </c>
      <c r="H82" t="s">
        <v>1032</v>
      </c>
      <c r="I82">
        <v>13.8</v>
      </c>
      <c r="J82">
        <v>20</v>
      </c>
    </row>
    <row r="83" spans="1:10" x14ac:dyDescent="0.25">
      <c r="A83" t="s">
        <v>91</v>
      </c>
      <c r="B83" t="s">
        <v>566</v>
      </c>
      <c r="C83" t="s">
        <v>679</v>
      </c>
      <c r="D83" t="s">
        <v>1156</v>
      </c>
      <c r="E83">
        <v>4.4000000000000004</v>
      </c>
      <c r="F83">
        <v>8</v>
      </c>
      <c r="G83" t="s">
        <v>1168</v>
      </c>
      <c r="H83" t="s">
        <v>1032</v>
      </c>
      <c r="I83">
        <v>12.2</v>
      </c>
      <c r="J83">
        <v>23</v>
      </c>
    </row>
    <row r="84" spans="1:10" x14ac:dyDescent="0.25">
      <c r="A84" t="s">
        <v>92</v>
      </c>
      <c r="B84" t="s">
        <v>566</v>
      </c>
      <c r="C84" t="s">
        <v>680</v>
      </c>
      <c r="D84" t="s">
        <v>1156</v>
      </c>
      <c r="E84">
        <v>4.4000000000000004</v>
      </c>
      <c r="F84">
        <v>8</v>
      </c>
      <c r="G84" t="s">
        <v>1168</v>
      </c>
      <c r="H84" t="s">
        <v>1032</v>
      </c>
      <c r="I84">
        <v>12.2</v>
      </c>
      <c r="J84">
        <v>23</v>
      </c>
    </row>
    <row r="85" spans="1:10" x14ac:dyDescent="0.25">
      <c r="A85" t="s">
        <v>93</v>
      </c>
      <c r="B85" t="s">
        <v>566</v>
      </c>
      <c r="C85" t="s">
        <v>681</v>
      </c>
      <c r="D85" t="s">
        <v>1153</v>
      </c>
      <c r="E85">
        <v>4.4000000000000004</v>
      </c>
      <c r="F85">
        <v>8</v>
      </c>
      <c r="G85" t="s">
        <v>1168</v>
      </c>
      <c r="H85" t="s">
        <v>1032</v>
      </c>
      <c r="I85">
        <v>12.2</v>
      </c>
      <c r="J85">
        <v>23</v>
      </c>
    </row>
    <row r="86" spans="1:10" x14ac:dyDescent="0.25">
      <c r="A86" t="s">
        <v>94</v>
      </c>
      <c r="B86" t="s">
        <v>566</v>
      </c>
      <c r="C86" t="s">
        <v>682</v>
      </c>
      <c r="D86" t="s">
        <v>1150</v>
      </c>
      <c r="E86">
        <v>2</v>
      </c>
      <c r="F86">
        <v>4</v>
      </c>
      <c r="G86" t="s">
        <v>1167</v>
      </c>
      <c r="H86" t="s">
        <v>1032</v>
      </c>
      <c r="I86">
        <v>8.5</v>
      </c>
      <c r="J86">
        <v>33</v>
      </c>
    </row>
    <row r="87" spans="1:10" x14ac:dyDescent="0.25">
      <c r="A87" t="s">
        <v>95</v>
      </c>
      <c r="B87" t="s">
        <v>566</v>
      </c>
      <c r="C87" t="s">
        <v>683</v>
      </c>
      <c r="D87" t="s">
        <v>1150</v>
      </c>
      <c r="E87">
        <v>2</v>
      </c>
      <c r="F87">
        <v>4</v>
      </c>
      <c r="G87" t="s">
        <v>1167</v>
      </c>
      <c r="H87" t="s">
        <v>1032</v>
      </c>
      <c r="I87">
        <v>9</v>
      </c>
      <c r="J87">
        <v>31</v>
      </c>
    </row>
    <row r="88" spans="1:10" x14ac:dyDescent="0.25">
      <c r="A88" t="s">
        <v>96</v>
      </c>
      <c r="B88" t="s">
        <v>566</v>
      </c>
      <c r="C88" t="s">
        <v>684</v>
      </c>
      <c r="D88" t="s">
        <v>1150</v>
      </c>
      <c r="E88">
        <v>2</v>
      </c>
      <c r="F88">
        <v>4</v>
      </c>
      <c r="G88" t="s">
        <v>1167</v>
      </c>
      <c r="H88" t="s">
        <v>1032</v>
      </c>
      <c r="I88">
        <v>8.5</v>
      </c>
      <c r="J88">
        <v>33</v>
      </c>
    </row>
    <row r="89" spans="1:10" x14ac:dyDescent="0.25">
      <c r="A89" t="s">
        <v>97</v>
      </c>
      <c r="B89" t="s">
        <v>566</v>
      </c>
      <c r="C89" t="s">
        <v>685</v>
      </c>
      <c r="D89" t="s">
        <v>1150</v>
      </c>
      <c r="E89">
        <v>2</v>
      </c>
      <c r="F89">
        <v>4</v>
      </c>
      <c r="G89" t="s">
        <v>1167</v>
      </c>
      <c r="H89" t="s">
        <v>1032</v>
      </c>
      <c r="I89">
        <v>8.9</v>
      </c>
      <c r="J89">
        <v>32</v>
      </c>
    </row>
    <row r="90" spans="1:10" x14ac:dyDescent="0.25">
      <c r="A90" t="s">
        <v>98</v>
      </c>
      <c r="B90" t="s">
        <v>566</v>
      </c>
      <c r="C90" t="s">
        <v>686</v>
      </c>
      <c r="D90" t="s">
        <v>1150</v>
      </c>
      <c r="E90">
        <v>2</v>
      </c>
      <c r="F90">
        <v>4</v>
      </c>
      <c r="G90" t="s">
        <v>1168</v>
      </c>
      <c r="H90" t="s">
        <v>1032</v>
      </c>
      <c r="I90">
        <v>8.1</v>
      </c>
      <c r="J90">
        <v>35</v>
      </c>
    </row>
    <row r="91" spans="1:10" x14ac:dyDescent="0.25">
      <c r="A91" t="s">
        <v>99</v>
      </c>
      <c r="B91" t="s">
        <v>566</v>
      </c>
      <c r="C91" t="s">
        <v>687</v>
      </c>
      <c r="D91" t="s">
        <v>1150</v>
      </c>
      <c r="E91">
        <v>3</v>
      </c>
      <c r="F91">
        <v>6</v>
      </c>
      <c r="G91" t="s">
        <v>1168</v>
      </c>
      <c r="H91" t="s">
        <v>1032</v>
      </c>
      <c r="I91">
        <v>8.6</v>
      </c>
      <c r="J91">
        <v>33</v>
      </c>
    </row>
    <row r="92" spans="1:10" x14ac:dyDescent="0.25">
      <c r="A92" t="s">
        <v>100</v>
      </c>
      <c r="B92" t="s">
        <v>566</v>
      </c>
      <c r="C92" t="s">
        <v>688</v>
      </c>
      <c r="D92" t="s">
        <v>1150</v>
      </c>
      <c r="E92">
        <v>2</v>
      </c>
      <c r="F92">
        <v>4</v>
      </c>
      <c r="G92" t="s">
        <v>1168</v>
      </c>
      <c r="H92" t="s">
        <v>1032</v>
      </c>
      <c r="I92">
        <v>9.9</v>
      </c>
      <c r="J92">
        <v>29</v>
      </c>
    </row>
    <row r="93" spans="1:10" x14ac:dyDescent="0.25">
      <c r="A93" t="s">
        <v>101</v>
      </c>
      <c r="B93" t="s">
        <v>566</v>
      </c>
      <c r="C93" t="s">
        <v>689</v>
      </c>
      <c r="D93" t="s">
        <v>1150</v>
      </c>
      <c r="E93">
        <v>3</v>
      </c>
      <c r="F93">
        <v>6</v>
      </c>
      <c r="G93" t="s">
        <v>1168</v>
      </c>
      <c r="H93" t="s">
        <v>1032</v>
      </c>
      <c r="I93">
        <v>13.9</v>
      </c>
      <c r="J93">
        <v>20</v>
      </c>
    </row>
    <row r="94" spans="1:10" x14ac:dyDescent="0.25">
      <c r="A94" t="s">
        <v>102</v>
      </c>
      <c r="B94" t="s">
        <v>566</v>
      </c>
      <c r="C94" t="s">
        <v>690</v>
      </c>
      <c r="D94" t="s">
        <v>1150</v>
      </c>
      <c r="E94">
        <v>3</v>
      </c>
      <c r="F94">
        <v>6</v>
      </c>
      <c r="G94" t="s">
        <v>1168</v>
      </c>
      <c r="H94" t="s">
        <v>1032</v>
      </c>
      <c r="I94">
        <v>13.9</v>
      </c>
      <c r="J94">
        <v>20</v>
      </c>
    </row>
    <row r="95" spans="1:10" x14ac:dyDescent="0.25">
      <c r="A95" t="s">
        <v>103</v>
      </c>
      <c r="B95" t="s">
        <v>566</v>
      </c>
      <c r="C95" t="s">
        <v>691</v>
      </c>
      <c r="D95" t="s">
        <v>1150</v>
      </c>
      <c r="E95">
        <v>3</v>
      </c>
      <c r="F95">
        <v>6</v>
      </c>
      <c r="G95" t="s">
        <v>1168</v>
      </c>
      <c r="H95" t="s">
        <v>1032</v>
      </c>
      <c r="I95">
        <v>10</v>
      </c>
      <c r="J95">
        <v>28</v>
      </c>
    </row>
    <row r="96" spans="1:10" x14ac:dyDescent="0.25">
      <c r="A96" t="s">
        <v>104</v>
      </c>
      <c r="B96" t="s">
        <v>566</v>
      </c>
      <c r="C96" t="s">
        <v>692</v>
      </c>
      <c r="D96" t="s">
        <v>1151</v>
      </c>
      <c r="E96">
        <v>3</v>
      </c>
      <c r="F96">
        <v>6</v>
      </c>
      <c r="G96" t="s">
        <v>1168</v>
      </c>
      <c r="H96" t="s">
        <v>1032</v>
      </c>
      <c r="I96">
        <v>9.4</v>
      </c>
      <c r="J96">
        <v>30</v>
      </c>
    </row>
    <row r="97" spans="1:10" x14ac:dyDescent="0.25">
      <c r="A97" t="s">
        <v>105</v>
      </c>
      <c r="B97" t="s">
        <v>566</v>
      </c>
      <c r="C97" t="s">
        <v>693</v>
      </c>
      <c r="D97" t="s">
        <v>1151</v>
      </c>
      <c r="E97">
        <v>4.4000000000000004</v>
      </c>
      <c r="F97">
        <v>8</v>
      </c>
      <c r="G97" t="s">
        <v>1168</v>
      </c>
      <c r="H97" t="s">
        <v>1032</v>
      </c>
      <c r="I97">
        <v>15.8</v>
      </c>
      <c r="J97">
        <v>18</v>
      </c>
    </row>
    <row r="98" spans="1:10" x14ac:dyDescent="0.25">
      <c r="A98" t="s">
        <v>106</v>
      </c>
      <c r="B98" t="s">
        <v>566</v>
      </c>
      <c r="C98" t="s">
        <v>694</v>
      </c>
      <c r="D98" t="s">
        <v>1151</v>
      </c>
      <c r="E98">
        <v>4.4000000000000004</v>
      </c>
      <c r="F98">
        <v>8</v>
      </c>
      <c r="G98" t="s">
        <v>1168</v>
      </c>
      <c r="H98" t="s">
        <v>1032</v>
      </c>
      <c r="I98">
        <v>12.3</v>
      </c>
      <c r="J98">
        <v>23</v>
      </c>
    </row>
    <row r="99" spans="1:10" x14ac:dyDescent="0.25">
      <c r="A99" t="s">
        <v>107</v>
      </c>
      <c r="B99" t="s">
        <v>566</v>
      </c>
      <c r="C99" t="s">
        <v>695</v>
      </c>
      <c r="D99" t="s">
        <v>1151</v>
      </c>
      <c r="E99">
        <v>3</v>
      </c>
      <c r="F99">
        <v>6</v>
      </c>
      <c r="G99" t="s">
        <v>1168</v>
      </c>
      <c r="H99" t="s">
        <v>1032</v>
      </c>
      <c r="I99">
        <v>9.6</v>
      </c>
      <c r="J99">
        <v>29</v>
      </c>
    </row>
    <row r="100" spans="1:10" x14ac:dyDescent="0.25">
      <c r="A100" t="s">
        <v>108</v>
      </c>
      <c r="B100" t="s">
        <v>566</v>
      </c>
      <c r="C100" t="s">
        <v>696</v>
      </c>
      <c r="D100" t="s">
        <v>1151</v>
      </c>
      <c r="E100">
        <v>4.4000000000000004</v>
      </c>
      <c r="F100">
        <v>8</v>
      </c>
      <c r="G100" t="s">
        <v>1168</v>
      </c>
      <c r="H100" t="s">
        <v>1032</v>
      </c>
      <c r="I100">
        <v>15.8</v>
      </c>
      <c r="J100">
        <v>18</v>
      </c>
    </row>
    <row r="101" spans="1:10" x14ac:dyDescent="0.25">
      <c r="A101" t="s">
        <v>109</v>
      </c>
      <c r="B101" t="s">
        <v>566</v>
      </c>
      <c r="C101" t="s">
        <v>697</v>
      </c>
      <c r="D101" t="s">
        <v>1151</v>
      </c>
      <c r="E101">
        <v>4.4000000000000004</v>
      </c>
      <c r="F101">
        <v>8</v>
      </c>
      <c r="G101" t="s">
        <v>1168</v>
      </c>
      <c r="H101" t="s">
        <v>1032</v>
      </c>
      <c r="I101">
        <v>12.3</v>
      </c>
      <c r="J101">
        <v>23</v>
      </c>
    </row>
    <row r="102" spans="1:10" x14ac:dyDescent="0.25">
      <c r="A102" t="s">
        <v>110</v>
      </c>
      <c r="B102" t="s">
        <v>566</v>
      </c>
      <c r="C102" t="s">
        <v>698</v>
      </c>
      <c r="D102" t="s">
        <v>1151</v>
      </c>
      <c r="E102">
        <v>3</v>
      </c>
      <c r="F102">
        <v>6</v>
      </c>
      <c r="G102" t="s">
        <v>1168</v>
      </c>
      <c r="H102" t="s">
        <v>1032</v>
      </c>
      <c r="I102">
        <v>10.7</v>
      </c>
      <c r="J102">
        <v>26</v>
      </c>
    </row>
    <row r="103" spans="1:10" x14ac:dyDescent="0.25">
      <c r="A103" t="s">
        <v>111</v>
      </c>
      <c r="B103" t="s">
        <v>566</v>
      </c>
      <c r="C103" t="s">
        <v>699</v>
      </c>
      <c r="D103" t="s">
        <v>1151</v>
      </c>
      <c r="E103">
        <v>4.4000000000000004</v>
      </c>
      <c r="F103">
        <v>8</v>
      </c>
      <c r="G103" t="s">
        <v>1168</v>
      </c>
      <c r="H103" t="s">
        <v>1032</v>
      </c>
      <c r="I103">
        <v>13.3</v>
      </c>
      <c r="J103">
        <v>21</v>
      </c>
    </row>
    <row r="104" spans="1:10" x14ac:dyDescent="0.25">
      <c r="A104" t="s">
        <v>112</v>
      </c>
      <c r="B104" t="s">
        <v>566</v>
      </c>
      <c r="C104" t="s">
        <v>700</v>
      </c>
      <c r="D104" t="s">
        <v>1155</v>
      </c>
      <c r="E104">
        <v>2</v>
      </c>
      <c r="F104">
        <v>4</v>
      </c>
      <c r="G104" t="s">
        <v>1168</v>
      </c>
      <c r="H104" t="s">
        <v>1032</v>
      </c>
      <c r="I104">
        <v>8.4</v>
      </c>
      <c r="J104">
        <v>34</v>
      </c>
    </row>
    <row r="105" spans="1:10" x14ac:dyDescent="0.25">
      <c r="A105" t="s">
        <v>113</v>
      </c>
      <c r="B105" t="s">
        <v>566</v>
      </c>
      <c r="C105" t="s">
        <v>701</v>
      </c>
      <c r="D105" t="s">
        <v>1155</v>
      </c>
      <c r="E105">
        <v>3</v>
      </c>
      <c r="F105">
        <v>6</v>
      </c>
      <c r="G105" t="s">
        <v>1168</v>
      </c>
      <c r="H105" t="s">
        <v>1032</v>
      </c>
      <c r="I105">
        <v>9.3000000000000007</v>
      </c>
      <c r="J105">
        <v>30</v>
      </c>
    </row>
    <row r="106" spans="1:10" x14ac:dyDescent="0.25">
      <c r="A106" t="s">
        <v>114</v>
      </c>
      <c r="B106" t="s">
        <v>567</v>
      </c>
      <c r="C106" t="s">
        <v>702</v>
      </c>
      <c r="D106" t="s">
        <v>1155</v>
      </c>
      <c r="E106">
        <v>8</v>
      </c>
      <c r="F106">
        <v>16</v>
      </c>
      <c r="G106" t="s">
        <v>1167</v>
      </c>
      <c r="H106" t="s">
        <v>1032</v>
      </c>
      <c r="I106">
        <v>25</v>
      </c>
      <c r="J106">
        <v>11</v>
      </c>
    </row>
    <row r="107" spans="1:10" x14ac:dyDescent="0.25">
      <c r="A107" t="s">
        <v>115</v>
      </c>
      <c r="B107" t="s">
        <v>568</v>
      </c>
      <c r="C107" t="s">
        <v>703</v>
      </c>
      <c r="D107" t="s">
        <v>1151</v>
      </c>
      <c r="E107">
        <v>2.5</v>
      </c>
      <c r="F107">
        <v>4</v>
      </c>
      <c r="G107" t="s">
        <v>1165</v>
      </c>
      <c r="H107" t="s">
        <v>1180</v>
      </c>
      <c r="I107">
        <v>11.2</v>
      </c>
      <c r="J107">
        <v>25</v>
      </c>
    </row>
    <row r="108" spans="1:10" x14ac:dyDescent="0.25">
      <c r="A108" t="s">
        <v>116</v>
      </c>
      <c r="B108" t="s">
        <v>568</v>
      </c>
      <c r="C108" t="s">
        <v>704</v>
      </c>
      <c r="D108" t="s">
        <v>1150</v>
      </c>
      <c r="E108">
        <v>1.3</v>
      </c>
      <c r="F108">
        <v>3</v>
      </c>
      <c r="G108" t="s">
        <v>1169</v>
      </c>
      <c r="H108" t="s">
        <v>1180</v>
      </c>
      <c r="I108">
        <v>7.8</v>
      </c>
      <c r="J108">
        <v>36</v>
      </c>
    </row>
    <row r="109" spans="1:10" x14ac:dyDescent="0.25">
      <c r="A109" t="s">
        <v>117</v>
      </c>
      <c r="B109" t="s">
        <v>568</v>
      </c>
      <c r="C109" t="s">
        <v>705</v>
      </c>
      <c r="D109" t="s">
        <v>1150</v>
      </c>
      <c r="E109">
        <v>1.3</v>
      </c>
      <c r="F109">
        <v>3</v>
      </c>
      <c r="G109" t="s">
        <v>1166</v>
      </c>
      <c r="H109" t="s">
        <v>1180</v>
      </c>
      <c r="I109">
        <v>8.8000000000000007</v>
      </c>
      <c r="J109">
        <v>32</v>
      </c>
    </row>
    <row r="110" spans="1:10" x14ac:dyDescent="0.25">
      <c r="A110" t="s">
        <v>118</v>
      </c>
      <c r="B110" t="s">
        <v>568</v>
      </c>
      <c r="C110" t="s">
        <v>706</v>
      </c>
      <c r="D110" t="s">
        <v>1150</v>
      </c>
      <c r="E110">
        <v>2</v>
      </c>
      <c r="F110">
        <v>4</v>
      </c>
      <c r="G110" t="s">
        <v>1170</v>
      </c>
      <c r="H110" t="s">
        <v>1180</v>
      </c>
      <c r="I110">
        <v>9.6999999999999993</v>
      </c>
      <c r="J110">
        <v>29</v>
      </c>
    </row>
    <row r="111" spans="1:10" x14ac:dyDescent="0.25">
      <c r="A111" t="s">
        <v>119</v>
      </c>
      <c r="B111" t="s">
        <v>568</v>
      </c>
      <c r="C111" t="s">
        <v>707</v>
      </c>
      <c r="D111" t="s">
        <v>1157</v>
      </c>
      <c r="E111">
        <v>1.2</v>
      </c>
      <c r="F111">
        <v>3</v>
      </c>
      <c r="G111" t="s">
        <v>1171</v>
      </c>
      <c r="H111" t="s">
        <v>1180</v>
      </c>
      <c r="I111">
        <v>7.9</v>
      </c>
      <c r="J111">
        <v>36</v>
      </c>
    </row>
    <row r="112" spans="1:10" x14ac:dyDescent="0.25">
      <c r="A112" t="s">
        <v>120</v>
      </c>
      <c r="B112" t="s">
        <v>569</v>
      </c>
      <c r="C112" t="s">
        <v>708</v>
      </c>
      <c r="D112" t="s">
        <v>1152</v>
      </c>
      <c r="E112">
        <v>2</v>
      </c>
      <c r="F112">
        <v>4</v>
      </c>
      <c r="G112" t="s">
        <v>1168</v>
      </c>
      <c r="H112" t="s">
        <v>1032</v>
      </c>
      <c r="I112">
        <v>9.1</v>
      </c>
      <c r="J112">
        <v>31</v>
      </c>
    </row>
    <row r="113" spans="1:10" x14ac:dyDescent="0.25">
      <c r="A113" t="s">
        <v>121</v>
      </c>
      <c r="B113" t="s">
        <v>569</v>
      </c>
      <c r="C113" t="s">
        <v>709</v>
      </c>
      <c r="D113" t="s">
        <v>1152</v>
      </c>
      <c r="E113">
        <v>2</v>
      </c>
      <c r="F113">
        <v>4</v>
      </c>
      <c r="G113" t="s">
        <v>1168</v>
      </c>
      <c r="H113" t="s">
        <v>1032</v>
      </c>
      <c r="I113">
        <v>9.5</v>
      </c>
      <c r="J113">
        <v>30</v>
      </c>
    </row>
    <row r="114" spans="1:10" x14ac:dyDescent="0.25">
      <c r="A114" t="s">
        <v>122</v>
      </c>
      <c r="B114" t="s">
        <v>569</v>
      </c>
      <c r="C114" t="s">
        <v>710</v>
      </c>
      <c r="D114" t="s">
        <v>1152</v>
      </c>
      <c r="E114">
        <v>2.7</v>
      </c>
      <c r="F114">
        <v>4</v>
      </c>
      <c r="G114" t="s">
        <v>1164</v>
      </c>
      <c r="H114" t="s">
        <v>1032</v>
      </c>
      <c r="I114">
        <v>10.199999999999999</v>
      </c>
      <c r="J114">
        <v>28</v>
      </c>
    </row>
    <row r="115" spans="1:10" x14ac:dyDescent="0.25">
      <c r="A115" t="s">
        <v>123</v>
      </c>
      <c r="B115" t="s">
        <v>569</v>
      </c>
      <c r="C115" t="s">
        <v>711</v>
      </c>
      <c r="D115" t="s">
        <v>1152</v>
      </c>
      <c r="E115">
        <v>2.7</v>
      </c>
      <c r="F115">
        <v>4</v>
      </c>
      <c r="G115" t="s">
        <v>1164</v>
      </c>
      <c r="H115" t="s">
        <v>1032</v>
      </c>
      <c r="I115">
        <v>10.4</v>
      </c>
      <c r="J115">
        <v>27</v>
      </c>
    </row>
    <row r="116" spans="1:10" x14ac:dyDescent="0.25">
      <c r="A116" t="s">
        <v>124</v>
      </c>
      <c r="B116" t="s">
        <v>569</v>
      </c>
      <c r="C116" t="s">
        <v>712</v>
      </c>
      <c r="D116" t="s">
        <v>1153</v>
      </c>
      <c r="E116">
        <v>2</v>
      </c>
      <c r="F116">
        <v>4</v>
      </c>
      <c r="G116" t="s">
        <v>1164</v>
      </c>
      <c r="H116" t="s">
        <v>1032</v>
      </c>
      <c r="I116">
        <v>9</v>
      </c>
      <c r="J116">
        <v>31</v>
      </c>
    </row>
    <row r="117" spans="1:10" x14ac:dyDescent="0.25">
      <c r="A117" t="s">
        <v>125</v>
      </c>
      <c r="B117" t="s">
        <v>569</v>
      </c>
      <c r="C117" t="s">
        <v>713</v>
      </c>
      <c r="D117" t="s">
        <v>1153</v>
      </c>
      <c r="E117">
        <v>2</v>
      </c>
      <c r="F117">
        <v>4</v>
      </c>
      <c r="G117" t="s">
        <v>1164</v>
      </c>
      <c r="H117" t="s">
        <v>1032</v>
      </c>
      <c r="I117">
        <v>9.6</v>
      </c>
      <c r="J117">
        <v>29</v>
      </c>
    </row>
    <row r="118" spans="1:10" x14ac:dyDescent="0.25">
      <c r="A118" t="s">
        <v>126</v>
      </c>
      <c r="B118" t="s">
        <v>569</v>
      </c>
      <c r="C118" t="s">
        <v>714</v>
      </c>
      <c r="D118" t="s">
        <v>1153</v>
      </c>
      <c r="E118">
        <v>3</v>
      </c>
      <c r="F118">
        <v>6</v>
      </c>
      <c r="G118" t="s">
        <v>1164</v>
      </c>
      <c r="H118" t="s">
        <v>1032</v>
      </c>
      <c r="I118">
        <v>11.1</v>
      </c>
      <c r="J118">
        <v>25</v>
      </c>
    </row>
    <row r="119" spans="1:10" x14ac:dyDescent="0.25">
      <c r="A119" t="s">
        <v>127</v>
      </c>
      <c r="B119" t="s">
        <v>569</v>
      </c>
      <c r="C119" t="s">
        <v>715</v>
      </c>
      <c r="D119" t="s">
        <v>1153</v>
      </c>
      <c r="E119">
        <v>3</v>
      </c>
      <c r="F119">
        <v>6</v>
      </c>
      <c r="G119" t="s">
        <v>1164</v>
      </c>
      <c r="H119" t="s">
        <v>1032</v>
      </c>
      <c r="I119">
        <v>11.7</v>
      </c>
      <c r="J119">
        <v>24</v>
      </c>
    </row>
    <row r="120" spans="1:10" x14ac:dyDescent="0.25">
      <c r="A120" t="s">
        <v>128</v>
      </c>
      <c r="B120" t="s">
        <v>569</v>
      </c>
      <c r="C120" t="s">
        <v>716</v>
      </c>
      <c r="D120" t="s">
        <v>1151</v>
      </c>
      <c r="E120">
        <v>6.2</v>
      </c>
      <c r="F120">
        <v>8</v>
      </c>
      <c r="G120" t="s">
        <v>1172</v>
      </c>
      <c r="H120" t="s">
        <v>1032</v>
      </c>
      <c r="I120">
        <v>15</v>
      </c>
      <c r="J120">
        <v>19</v>
      </c>
    </row>
    <row r="121" spans="1:10" x14ac:dyDescent="0.25">
      <c r="A121" t="s">
        <v>129</v>
      </c>
      <c r="B121" t="s">
        <v>569</v>
      </c>
      <c r="C121" t="s">
        <v>717</v>
      </c>
      <c r="D121" t="s">
        <v>1151</v>
      </c>
      <c r="E121">
        <v>6.2</v>
      </c>
      <c r="F121">
        <v>8</v>
      </c>
      <c r="G121" t="s">
        <v>1164</v>
      </c>
      <c r="H121" t="s">
        <v>1032</v>
      </c>
      <c r="I121">
        <v>17.7</v>
      </c>
      <c r="J121">
        <v>16</v>
      </c>
    </row>
    <row r="122" spans="1:10" x14ac:dyDescent="0.25">
      <c r="A122" t="s">
        <v>130</v>
      </c>
      <c r="B122" t="s">
        <v>569</v>
      </c>
      <c r="C122" t="s">
        <v>718</v>
      </c>
      <c r="D122" t="s">
        <v>1150</v>
      </c>
      <c r="E122">
        <v>2</v>
      </c>
      <c r="F122">
        <v>4</v>
      </c>
      <c r="G122" t="s">
        <v>1170</v>
      </c>
      <c r="H122" t="s">
        <v>1032</v>
      </c>
      <c r="I122">
        <v>9.5</v>
      </c>
      <c r="J122">
        <v>30</v>
      </c>
    </row>
    <row r="123" spans="1:10" x14ac:dyDescent="0.25">
      <c r="A123" t="s">
        <v>131</v>
      </c>
      <c r="B123" t="s">
        <v>569</v>
      </c>
      <c r="C123" t="s">
        <v>719</v>
      </c>
      <c r="D123" t="s">
        <v>1150</v>
      </c>
      <c r="E123">
        <v>2</v>
      </c>
      <c r="F123">
        <v>4</v>
      </c>
      <c r="G123" t="s">
        <v>1170</v>
      </c>
      <c r="H123" t="s">
        <v>1032</v>
      </c>
      <c r="I123">
        <v>9.6999999999999993</v>
      </c>
      <c r="J123">
        <v>29</v>
      </c>
    </row>
    <row r="124" spans="1:10" x14ac:dyDescent="0.25">
      <c r="A124" t="s">
        <v>132</v>
      </c>
      <c r="B124" t="s">
        <v>569</v>
      </c>
      <c r="C124" t="s">
        <v>720</v>
      </c>
      <c r="D124" t="s">
        <v>1150</v>
      </c>
      <c r="E124">
        <v>2</v>
      </c>
      <c r="F124">
        <v>4</v>
      </c>
      <c r="G124" t="s">
        <v>1170</v>
      </c>
      <c r="H124" t="s">
        <v>1032</v>
      </c>
      <c r="I124">
        <v>10.1</v>
      </c>
      <c r="J124">
        <v>28</v>
      </c>
    </row>
    <row r="125" spans="1:10" x14ac:dyDescent="0.25">
      <c r="A125" t="s">
        <v>133</v>
      </c>
      <c r="B125" t="s">
        <v>569</v>
      </c>
      <c r="C125" t="s">
        <v>721</v>
      </c>
      <c r="D125" t="s">
        <v>1150</v>
      </c>
      <c r="E125">
        <v>2</v>
      </c>
      <c r="F125">
        <v>4</v>
      </c>
      <c r="G125" t="s">
        <v>1170</v>
      </c>
      <c r="H125" t="s">
        <v>1032</v>
      </c>
      <c r="I125">
        <v>10.199999999999999</v>
      </c>
      <c r="J125">
        <v>28</v>
      </c>
    </row>
    <row r="126" spans="1:10" x14ac:dyDescent="0.25">
      <c r="A126" t="s">
        <v>134</v>
      </c>
      <c r="B126" t="s">
        <v>570</v>
      </c>
      <c r="C126" t="s">
        <v>722</v>
      </c>
      <c r="D126" t="s">
        <v>1150</v>
      </c>
      <c r="E126">
        <v>2</v>
      </c>
      <c r="F126">
        <v>4</v>
      </c>
      <c r="G126" t="s">
        <v>1166</v>
      </c>
      <c r="H126" t="s">
        <v>1180</v>
      </c>
      <c r="I126">
        <v>9.9</v>
      </c>
      <c r="J126">
        <v>29</v>
      </c>
    </row>
    <row r="127" spans="1:10" x14ac:dyDescent="0.25">
      <c r="A127" t="s">
        <v>135</v>
      </c>
      <c r="B127" t="s">
        <v>570</v>
      </c>
      <c r="C127" t="s">
        <v>723</v>
      </c>
      <c r="D127" t="s">
        <v>1159</v>
      </c>
      <c r="E127">
        <v>2.7</v>
      </c>
      <c r="F127">
        <v>4</v>
      </c>
      <c r="G127" t="s">
        <v>1165</v>
      </c>
      <c r="H127" t="s">
        <v>1180</v>
      </c>
      <c r="I127">
        <v>11.5</v>
      </c>
      <c r="J127">
        <v>25</v>
      </c>
    </row>
    <row r="128" spans="1:10" x14ac:dyDescent="0.25">
      <c r="A128" t="s">
        <v>136</v>
      </c>
      <c r="B128" t="s">
        <v>570</v>
      </c>
      <c r="C128" t="s">
        <v>724</v>
      </c>
      <c r="D128" t="s">
        <v>1159</v>
      </c>
      <c r="E128">
        <v>2.7</v>
      </c>
      <c r="F128">
        <v>4</v>
      </c>
      <c r="G128" t="s">
        <v>1165</v>
      </c>
      <c r="H128" t="s">
        <v>1180</v>
      </c>
      <c r="I128">
        <v>12.4</v>
      </c>
      <c r="J128">
        <v>23</v>
      </c>
    </row>
    <row r="129" spans="1:10" x14ac:dyDescent="0.25">
      <c r="A129" t="s">
        <v>137</v>
      </c>
      <c r="B129" t="s">
        <v>570</v>
      </c>
      <c r="C129" t="s">
        <v>725</v>
      </c>
      <c r="D129" t="s">
        <v>1159</v>
      </c>
      <c r="E129">
        <v>2.7</v>
      </c>
      <c r="F129">
        <v>4</v>
      </c>
      <c r="G129" t="s">
        <v>1165</v>
      </c>
      <c r="H129" t="s">
        <v>1180</v>
      </c>
      <c r="I129">
        <v>13.1</v>
      </c>
      <c r="J129">
        <v>22</v>
      </c>
    </row>
    <row r="130" spans="1:10" x14ac:dyDescent="0.25">
      <c r="A130" t="s">
        <v>138</v>
      </c>
      <c r="B130" t="s">
        <v>570</v>
      </c>
      <c r="C130" t="s">
        <v>726</v>
      </c>
      <c r="D130" t="s">
        <v>1159</v>
      </c>
      <c r="E130">
        <v>2.7</v>
      </c>
      <c r="F130">
        <v>4</v>
      </c>
      <c r="G130" t="s">
        <v>1165</v>
      </c>
      <c r="H130" t="s">
        <v>1180</v>
      </c>
      <c r="I130">
        <v>14</v>
      </c>
      <c r="J130">
        <v>20</v>
      </c>
    </row>
    <row r="131" spans="1:10" x14ac:dyDescent="0.25">
      <c r="A131" t="s">
        <v>139</v>
      </c>
      <c r="B131" t="s">
        <v>570</v>
      </c>
      <c r="C131" t="s">
        <v>727</v>
      </c>
      <c r="D131" t="s">
        <v>1159</v>
      </c>
      <c r="E131">
        <v>2.7</v>
      </c>
      <c r="F131">
        <v>4</v>
      </c>
      <c r="G131" t="s">
        <v>1165</v>
      </c>
      <c r="H131" t="s">
        <v>1180</v>
      </c>
      <c r="I131">
        <v>14.9</v>
      </c>
      <c r="J131">
        <v>19</v>
      </c>
    </row>
    <row r="132" spans="1:10" x14ac:dyDescent="0.25">
      <c r="A132" t="s">
        <v>140</v>
      </c>
      <c r="B132" t="s">
        <v>570</v>
      </c>
      <c r="C132" t="s">
        <v>728</v>
      </c>
      <c r="D132" t="s">
        <v>1155</v>
      </c>
      <c r="E132">
        <v>6.2</v>
      </c>
      <c r="F132">
        <v>8</v>
      </c>
      <c r="G132" t="s">
        <v>1168</v>
      </c>
      <c r="H132" t="s">
        <v>1032</v>
      </c>
      <c r="I132">
        <v>12.5</v>
      </c>
      <c r="J132">
        <v>23</v>
      </c>
    </row>
    <row r="133" spans="1:10" x14ac:dyDescent="0.25">
      <c r="A133" t="s">
        <v>141</v>
      </c>
      <c r="B133" t="s">
        <v>570</v>
      </c>
      <c r="C133" t="s">
        <v>729</v>
      </c>
      <c r="D133" t="s">
        <v>1155</v>
      </c>
      <c r="E133">
        <v>6.2</v>
      </c>
      <c r="F133">
        <v>8</v>
      </c>
      <c r="G133" t="s">
        <v>1168</v>
      </c>
      <c r="H133" t="s">
        <v>1032</v>
      </c>
      <c r="I133">
        <v>12.7</v>
      </c>
      <c r="J133">
        <v>22</v>
      </c>
    </row>
    <row r="134" spans="1:10" x14ac:dyDescent="0.25">
      <c r="A134" t="s">
        <v>142</v>
      </c>
      <c r="B134" t="s">
        <v>570</v>
      </c>
      <c r="C134" t="s">
        <v>730</v>
      </c>
      <c r="D134" t="s">
        <v>1155</v>
      </c>
      <c r="E134">
        <v>5.5</v>
      </c>
      <c r="F134">
        <v>8</v>
      </c>
      <c r="G134" t="s">
        <v>1168</v>
      </c>
      <c r="H134" t="s">
        <v>1032</v>
      </c>
      <c r="I134">
        <v>16.3</v>
      </c>
      <c r="J134">
        <v>17</v>
      </c>
    </row>
    <row r="135" spans="1:10" x14ac:dyDescent="0.25">
      <c r="A135" t="s">
        <v>143</v>
      </c>
      <c r="B135" t="s">
        <v>570</v>
      </c>
      <c r="C135" t="s">
        <v>731</v>
      </c>
      <c r="D135" t="s">
        <v>1155</v>
      </c>
      <c r="E135">
        <v>5.5</v>
      </c>
      <c r="F135">
        <v>8</v>
      </c>
      <c r="G135" t="s">
        <v>1168</v>
      </c>
      <c r="H135" t="s">
        <v>1032</v>
      </c>
      <c r="I135">
        <v>16.7</v>
      </c>
      <c r="J135">
        <v>17</v>
      </c>
    </row>
    <row r="136" spans="1:10" x14ac:dyDescent="0.25">
      <c r="A136" t="s">
        <v>144</v>
      </c>
      <c r="B136" t="s">
        <v>570</v>
      </c>
      <c r="C136" t="s">
        <v>732</v>
      </c>
      <c r="D136" t="s">
        <v>1155</v>
      </c>
      <c r="E136">
        <v>5.5</v>
      </c>
      <c r="F136">
        <v>8</v>
      </c>
      <c r="G136" t="s">
        <v>1168</v>
      </c>
      <c r="H136" t="s">
        <v>1032</v>
      </c>
      <c r="I136">
        <v>16.899999999999999</v>
      </c>
      <c r="J136">
        <v>17</v>
      </c>
    </row>
    <row r="137" spans="1:10" x14ac:dyDescent="0.25">
      <c r="A137" t="s">
        <v>145</v>
      </c>
      <c r="B137" t="s">
        <v>570</v>
      </c>
      <c r="C137" t="s">
        <v>733</v>
      </c>
      <c r="D137" t="s">
        <v>1150</v>
      </c>
      <c r="E137">
        <v>1.5</v>
      </c>
      <c r="F137">
        <v>4</v>
      </c>
      <c r="G137" t="s">
        <v>1169</v>
      </c>
      <c r="H137" t="s">
        <v>1180</v>
      </c>
      <c r="I137">
        <v>8.8000000000000007</v>
      </c>
      <c r="J137">
        <v>32</v>
      </c>
    </row>
    <row r="138" spans="1:10" x14ac:dyDescent="0.25">
      <c r="A138" t="s">
        <v>146</v>
      </c>
      <c r="B138" t="s">
        <v>570</v>
      </c>
      <c r="C138" t="s">
        <v>734</v>
      </c>
      <c r="D138" t="s">
        <v>1150</v>
      </c>
      <c r="E138">
        <v>1.5</v>
      </c>
      <c r="F138">
        <v>4</v>
      </c>
      <c r="G138" t="s">
        <v>1165</v>
      </c>
      <c r="H138" t="s">
        <v>1180</v>
      </c>
      <c r="I138">
        <v>9.1999999999999993</v>
      </c>
      <c r="J138">
        <v>31</v>
      </c>
    </row>
    <row r="139" spans="1:10" x14ac:dyDescent="0.25">
      <c r="A139" t="s">
        <v>147</v>
      </c>
      <c r="B139" t="s">
        <v>570</v>
      </c>
      <c r="C139" t="s">
        <v>735</v>
      </c>
      <c r="D139" t="s">
        <v>1153</v>
      </c>
      <c r="E139">
        <v>1.5</v>
      </c>
      <c r="F139">
        <v>4</v>
      </c>
      <c r="G139" t="s">
        <v>1169</v>
      </c>
      <c r="H139" t="s">
        <v>1180</v>
      </c>
      <c r="I139">
        <v>7.7</v>
      </c>
      <c r="J139">
        <v>37</v>
      </c>
    </row>
    <row r="140" spans="1:10" x14ac:dyDescent="0.25">
      <c r="A140" t="s">
        <v>148</v>
      </c>
      <c r="B140" t="s">
        <v>570</v>
      </c>
      <c r="C140" t="s">
        <v>736</v>
      </c>
      <c r="D140" t="s">
        <v>1159</v>
      </c>
      <c r="E140">
        <v>2.7</v>
      </c>
      <c r="F140">
        <v>4</v>
      </c>
      <c r="G140" t="s">
        <v>1165</v>
      </c>
      <c r="H140" t="s">
        <v>1180</v>
      </c>
      <c r="I140">
        <v>12.5</v>
      </c>
      <c r="J140">
        <v>23</v>
      </c>
    </row>
    <row r="141" spans="1:10" x14ac:dyDescent="0.25">
      <c r="A141" t="s">
        <v>149</v>
      </c>
      <c r="B141" t="s">
        <v>570</v>
      </c>
      <c r="C141" t="s">
        <v>737</v>
      </c>
      <c r="D141" t="s">
        <v>1159</v>
      </c>
      <c r="E141">
        <v>2.7</v>
      </c>
      <c r="F141">
        <v>4</v>
      </c>
      <c r="G141" t="s">
        <v>1165</v>
      </c>
      <c r="H141" t="s">
        <v>1180</v>
      </c>
      <c r="I141">
        <v>12.9</v>
      </c>
      <c r="J141">
        <v>22</v>
      </c>
    </row>
    <row r="142" spans="1:10" x14ac:dyDescent="0.25">
      <c r="A142" t="s">
        <v>150</v>
      </c>
      <c r="B142" t="s">
        <v>570</v>
      </c>
      <c r="C142" t="s">
        <v>738</v>
      </c>
      <c r="D142" t="s">
        <v>1159</v>
      </c>
      <c r="E142">
        <v>2.7</v>
      </c>
      <c r="F142">
        <v>4</v>
      </c>
      <c r="G142" t="s">
        <v>1165</v>
      </c>
      <c r="H142" t="s">
        <v>1180</v>
      </c>
      <c r="I142">
        <v>14.3</v>
      </c>
      <c r="J142">
        <v>20</v>
      </c>
    </row>
    <row r="143" spans="1:10" x14ac:dyDescent="0.25">
      <c r="A143" t="s">
        <v>151</v>
      </c>
      <c r="B143" t="s">
        <v>570</v>
      </c>
      <c r="C143" t="s">
        <v>739</v>
      </c>
      <c r="D143" t="s">
        <v>1159</v>
      </c>
      <c r="E143">
        <v>3</v>
      </c>
      <c r="F143">
        <v>6</v>
      </c>
      <c r="G143" t="s">
        <v>1172</v>
      </c>
      <c r="H143" t="s">
        <v>1181</v>
      </c>
      <c r="I143">
        <v>9.9</v>
      </c>
      <c r="J143">
        <v>29</v>
      </c>
    </row>
    <row r="144" spans="1:10" x14ac:dyDescent="0.25">
      <c r="A144" t="s">
        <v>152</v>
      </c>
      <c r="B144" t="s">
        <v>570</v>
      </c>
      <c r="C144" t="s">
        <v>740</v>
      </c>
      <c r="D144" t="s">
        <v>1159</v>
      </c>
      <c r="E144">
        <v>5.3</v>
      </c>
      <c r="F144">
        <v>8</v>
      </c>
      <c r="G144" t="s">
        <v>1172</v>
      </c>
      <c r="H144" t="s">
        <v>1180</v>
      </c>
      <c r="I144">
        <v>13.9</v>
      </c>
      <c r="J144">
        <v>20</v>
      </c>
    </row>
    <row r="145" spans="1:10" x14ac:dyDescent="0.25">
      <c r="A145" t="s">
        <v>153</v>
      </c>
      <c r="B145" t="s">
        <v>570</v>
      </c>
      <c r="C145" t="s">
        <v>741</v>
      </c>
      <c r="D145" t="s">
        <v>1159</v>
      </c>
      <c r="E145">
        <v>3</v>
      </c>
      <c r="F145">
        <v>6</v>
      </c>
      <c r="G145" t="s">
        <v>1172</v>
      </c>
      <c r="H145" t="s">
        <v>1181</v>
      </c>
      <c r="I145">
        <v>11.1</v>
      </c>
      <c r="J145">
        <v>25</v>
      </c>
    </row>
    <row r="146" spans="1:10" x14ac:dyDescent="0.25">
      <c r="A146" t="s">
        <v>154</v>
      </c>
      <c r="B146" t="s">
        <v>570</v>
      </c>
      <c r="C146" t="s">
        <v>742</v>
      </c>
      <c r="D146" t="s">
        <v>1151</v>
      </c>
      <c r="E146">
        <v>5.3</v>
      </c>
      <c r="F146">
        <v>8</v>
      </c>
      <c r="G146" t="s">
        <v>1172</v>
      </c>
      <c r="H146" t="s">
        <v>1180</v>
      </c>
      <c r="I146">
        <v>14</v>
      </c>
      <c r="J146">
        <v>20</v>
      </c>
    </row>
    <row r="147" spans="1:10" x14ac:dyDescent="0.25">
      <c r="A147" t="s">
        <v>155</v>
      </c>
      <c r="B147" t="s">
        <v>570</v>
      </c>
      <c r="C147" t="s">
        <v>743</v>
      </c>
      <c r="D147" t="s">
        <v>1151</v>
      </c>
      <c r="E147">
        <v>3</v>
      </c>
      <c r="F147">
        <v>6</v>
      </c>
      <c r="G147" t="s">
        <v>1172</v>
      </c>
      <c r="H147" t="s">
        <v>1181</v>
      </c>
      <c r="I147">
        <v>10.7</v>
      </c>
      <c r="J147">
        <v>26</v>
      </c>
    </row>
    <row r="148" spans="1:10" x14ac:dyDescent="0.25">
      <c r="A148" t="s">
        <v>156</v>
      </c>
      <c r="B148" t="s">
        <v>570</v>
      </c>
      <c r="C148" t="s">
        <v>744</v>
      </c>
      <c r="D148" t="s">
        <v>1151</v>
      </c>
      <c r="E148">
        <v>5.3</v>
      </c>
      <c r="F148">
        <v>8</v>
      </c>
      <c r="G148" t="s">
        <v>1172</v>
      </c>
      <c r="H148" t="s">
        <v>1180</v>
      </c>
      <c r="I148">
        <v>14</v>
      </c>
      <c r="J148">
        <v>20</v>
      </c>
    </row>
    <row r="149" spans="1:10" x14ac:dyDescent="0.25">
      <c r="A149" t="s">
        <v>157</v>
      </c>
      <c r="B149" t="s">
        <v>570</v>
      </c>
      <c r="C149" t="s">
        <v>745</v>
      </c>
      <c r="D149" t="s">
        <v>1151</v>
      </c>
      <c r="E149">
        <v>3</v>
      </c>
      <c r="F149">
        <v>6</v>
      </c>
      <c r="G149" t="s">
        <v>1172</v>
      </c>
      <c r="H149" t="s">
        <v>1181</v>
      </c>
      <c r="I149">
        <v>10.7</v>
      </c>
      <c r="J149">
        <v>26</v>
      </c>
    </row>
    <row r="150" spans="1:10" x14ac:dyDescent="0.25">
      <c r="A150" t="s">
        <v>158</v>
      </c>
      <c r="B150" t="s">
        <v>570</v>
      </c>
      <c r="C150" t="s">
        <v>746</v>
      </c>
      <c r="D150" t="s">
        <v>1150</v>
      </c>
      <c r="E150">
        <v>1.2</v>
      </c>
      <c r="F150">
        <v>3</v>
      </c>
      <c r="G150" t="s">
        <v>1169</v>
      </c>
      <c r="H150" t="s">
        <v>1180</v>
      </c>
      <c r="I150">
        <v>7.8</v>
      </c>
      <c r="J150">
        <v>36</v>
      </c>
    </row>
    <row r="151" spans="1:10" x14ac:dyDescent="0.25">
      <c r="A151" t="s">
        <v>159</v>
      </c>
      <c r="B151" t="s">
        <v>570</v>
      </c>
      <c r="C151" t="s">
        <v>747</v>
      </c>
      <c r="D151" t="s">
        <v>1150</v>
      </c>
      <c r="E151">
        <v>1.3</v>
      </c>
      <c r="F151">
        <v>3</v>
      </c>
      <c r="G151" t="s">
        <v>1166</v>
      </c>
      <c r="H151" t="s">
        <v>1180</v>
      </c>
      <c r="I151">
        <v>8.6999999999999993</v>
      </c>
      <c r="J151">
        <v>32</v>
      </c>
    </row>
    <row r="152" spans="1:10" x14ac:dyDescent="0.25">
      <c r="A152" t="s">
        <v>160</v>
      </c>
      <c r="B152" t="s">
        <v>570</v>
      </c>
      <c r="C152" t="s">
        <v>748</v>
      </c>
      <c r="D152" t="s">
        <v>1151</v>
      </c>
      <c r="E152">
        <v>2.5</v>
      </c>
      <c r="F152">
        <v>4</v>
      </c>
      <c r="G152" t="s">
        <v>1165</v>
      </c>
      <c r="H152" t="s">
        <v>1180</v>
      </c>
      <c r="I152">
        <v>11.2</v>
      </c>
      <c r="J152">
        <v>25</v>
      </c>
    </row>
    <row r="153" spans="1:10" x14ac:dyDescent="0.25">
      <c r="A153" t="s">
        <v>161</v>
      </c>
      <c r="B153" t="s">
        <v>570</v>
      </c>
      <c r="C153" t="s">
        <v>749</v>
      </c>
      <c r="D153" t="s">
        <v>1157</v>
      </c>
      <c r="E153">
        <v>1.2</v>
      </c>
      <c r="F153">
        <v>3</v>
      </c>
      <c r="G153" t="s">
        <v>1171</v>
      </c>
      <c r="H153" t="s">
        <v>1180</v>
      </c>
      <c r="I153">
        <v>8.1</v>
      </c>
      <c r="J153">
        <v>35</v>
      </c>
    </row>
    <row r="154" spans="1:10" x14ac:dyDescent="0.25">
      <c r="A154" t="s">
        <v>162</v>
      </c>
      <c r="B154" t="s">
        <v>571</v>
      </c>
      <c r="C154" t="s">
        <v>750</v>
      </c>
      <c r="D154" t="s">
        <v>1160</v>
      </c>
      <c r="E154">
        <v>3.6</v>
      </c>
      <c r="F154">
        <v>6</v>
      </c>
      <c r="G154" t="s">
        <v>1166</v>
      </c>
      <c r="H154" t="s">
        <v>1180</v>
      </c>
      <c r="I154">
        <v>10.6</v>
      </c>
      <c r="J154">
        <v>27</v>
      </c>
    </row>
    <row r="155" spans="1:10" x14ac:dyDescent="0.25">
      <c r="A155" t="s">
        <v>163</v>
      </c>
      <c r="B155" t="s">
        <v>571</v>
      </c>
      <c r="C155" t="s">
        <v>751</v>
      </c>
      <c r="D155" t="s">
        <v>1160</v>
      </c>
      <c r="E155">
        <v>3.6</v>
      </c>
      <c r="F155">
        <v>6</v>
      </c>
      <c r="G155" t="s">
        <v>1166</v>
      </c>
      <c r="H155" t="s">
        <v>1180</v>
      </c>
      <c r="I155">
        <v>10.6</v>
      </c>
      <c r="J155">
        <v>27</v>
      </c>
    </row>
    <row r="156" spans="1:10" x14ac:dyDescent="0.25">
      <c r="A156" t="s">
        <v>164</v>
      </c>
      <c r="B156" t="s">
        <v>571</v>
      </c>
      <c r="C156" t="s">
        <v>752</v>
      </c>
      <c r="D156" t="s">
        <v>1160</v>
      </c>
      <c r="E156">
        <v>3.6</v>
      </c>
      <c r="F156">
        <v>6</v>
      </c>
      <c r="G156" t="s">
        <v>1166</v>
      </c>
      <c r="H156" t="s">
        <v>1180</v>
      </c>
      <c r="I156">
        <v>12</v>
      </c>
      <c r="J156">
        <v>24</v>
      </c>
    </row>
    <row r="157" spans="1:10" x14ac:dyDescent="0.25">
      <c r="A157" t="s">
        <v>165</v>
      </c>
      <c r="B157" t="s">
        <v>572</v>
      </c>
      <c r="C157" t="s">
        <v>753</v>
      </c>
      <c r="D157" t="s">
        <v>1151</v>
      </c>
      <c r="E157">
        <v>3.6</v>
      </c>
      <c r="F157">
        <v>6</v>
      </c>
      <c r="G157" t="s">
        <v>1165</v>
      </c>
      <c r="H157" t="s">
        <v>1180</v>
      </c>
      <c r="I157">
        <v>11.9</v>
      </c>
      <c r="J157">
        <v>24</v>
      </c>
    </row>
    <row r="158" spans="1:10" x14ac:dyDescent="0.25">
      <c r="A158" t="s">
        <v>166</v>
      </c>
      <c r="B158" t="s">
        <v>572</v>
      </c>
      <c r="C158" t="s">
        <v>754</v>
      </c>
      <c r="D158" t="s">
        <v>1151</v>
      </c>
      <c r="E158">
        <v>6.2</v>
      </c>
      <c r="F158">
        <v>8</v>
      </c>
      <c r="G158" t="s">
        <v>1165</v>
      </c>
      <c r="H158" t="s">
        <v>1032</v>
      </c>
      <c r="I158">
        <v>17.399999999999999</v>
      </c>
      <c r="J158">
        <v>16</v>
      </c>
    </row>
    <row r="159" spans="1:10" x14ac:dyDescent="0.25">
      <c r="A159" t="s">
        <v>167</v>
      </c>
      <c r="B159" t="s">
        <v>572</v>
      </c>
      <c r="C159" t="s">
        <v>755</v>
      </c>
      <c r="D159" t="s">
        <v>1150</v>
      </c>
      <c r="E159">
        <v>2</v>
      </c>
      <c r="F159">
        <v>4</v>
      </c>
      <c r="G159" t="s">
        <v>1166</v>
      </c>
      <c r="H159" t="s">
        <v>1180</v>
      </c>
      <c r="I159">
        <v>9.9</v>
      </c>
      <c r="J159">
        <v>29</v>
      </c>
    </row>
    <row r="160" spans="1:10" x14ac:dyDescent="0.25">
      <c r="A160" t="s">
        <v>168</v>
      </c>
      <c r="B160" t="s">
        <v>573</v>
      </c>
      <c r="C160" t="s">
        <v>756</v>
      </c>
      <c r="D160" t="s">
        <v>1155</v>
      </c>
      <c r="E160">
        <v>6.5</v>
      </c>
      <c r="F160">
        <v>12</v>
      </c>
      <c r="G160" t="s">
        <v>1173</v>
      </c>
      <c r="H160" t="s">
        <v>1032</v>
      </c>
      <c r="I160">
        <v>16.5</v>
      </c>
      <c r="J160">
        <v>17</v>
      </c>
    </row>
    <row r="161" spans="1:10" x14ac:dyDescent="0.25">
      <c r="A161" t="s">
        <v>169</v>
      </c>
      <c r="B161" t="s">
        <v>573</v>
      </c>
      <c r="C161" t="s">
        <v>757</v>
      </c>
      <c r="D161" t="s">
        <v>1155</v>
      </c>
      <c r="E161">
        <v>6.5</v>
      </c>
      <c r="F161">
        <v>12</v>
      </c>
      <c r="G161" t="s">
        <v>1173</v>
      </c>
      <c r="H161" t="s">
        <v>1032</v>
      </c>
      <c r="I161">
        <v>16.8</v>
      </c>
      <c r="J161">
        <v>17</v>
      </c>
    </row>
    <row r="162" spans="1:10" x14ac:dyDescent="0.25">
      <c r="A162" t="s">
        <v>170</v>
      </c>
      <c r="B162" t="s">
        <v>573</v>
      </c>
      <c r="C162" t="s">
        <v>758</v>
      </c>
      <c r="D162" t="s">
        <v>1155</v>
      </c>
      <c r="E162">
        <v>6.5</v>
      </c>
      <c r="F162">
        <v>12</v>
      </c>
      <c r="G162" t="s">
        <v>1167</v>
      </c>
      <c r="H162" t="s">
        <v>1032</v>
      </c>
      <c r="I162">
        <v>17.600000000000001</v>
      </c>
      <c r="J162">
        <v>16</v>
      </c>
    </row>
    <row r="163" spans="1:10" x14ac:dyDescent="0.25">
      <c r="A163" t="s">
        <v>171</v>
      </c>
      <c r="B163" t="s">
        <v>573</v>
      </c>
      <c r="C163" t="s">
        <v>759</v>
      </c>
      <c r="D163" t="s">
        <v>1151</v>
      </c>
      <c r="E163">
        <v>6.5</v>
      </c>
      <c r="F163">
        <v>12</v>
      </c>
      <c r="G163" t="s">
        <v>1173</v>
      </c>
      <c r="H163" t="s">
        <v>1032</v>
      </c>
      <c r="I163">
        <v>19</v>
      </c>
      <c r="J163">
        <v>15</v>
      </c>
    </row>
    <row r="164" spans="1:10" x14ac:dyDescent="0.25">
      <c r="A164" t="s">
        <v>172</v>
      </c>
      <c r="B164" t="s">
        <v>573</v>
      </c>
      <c r="C164" t="s">
        <v>760</v>
      </c>
      <c r="D164" t="s">
        <v>1154</v>
      </c>
      <c r="E164">
        <v>3.9</v>
      </c>
      <c r="F164">
        <v>8</v>
      </c>
      <c r="G164" t="s">
        <v>1173</v>
      </c>
      <c r="H164" t="s">
        <v>1032</v>
      </c>
      <c r="I164">
        <v>12.4</v>
      </c>
      <c r="J164">
        <v>23</v>
      </c>
    </row>
    <row r="165" spans="1:10" x14ac:dyDescent="0.25">
      <c r="A165" t="s">
        <v>173</v>
      </c>
      <c r="B165" t="s">
        <v>574</v>
      </c>
      <c r="C165" t="s">
        <v>761</v>
      </c>
      <c r="D165" t="s">
        <v>1150</v>
      </c>
      <c r="E165">
        <v>2.2999999999999998</v>
      </c>
      <c r="F165">
        <v>4</v>
      </c>
      <c r="G165" t="s">
        <v>1164</v>
      </c>
      <c r="H165" t="s">
        <v>1180</v>
      </c>
      <c r="I165">
        <v>12</v>
      </c>
      <c r="J165">
        <v>24</v>
      </c>
    </row>
    <row r="166" spans="1:10" x14ac:dyDescent="0.25">
      <c r="A166" t="s">
        <v>174</v>
      </c>
      <c r="B166" t="s">
        <v>574</v>
      </c>
      <c r="C166" t="s">
        <v>762</v>
      </c>
      <c r="D166" t="s">
        <v>1150</v>
      </c>
      <c r="E166">
        <v>2.7</v>
      </c>
      <c r="F166">
        <v>6</v>
      </c>
      <c r="G166" t="s">
        <v>1164</v>
      </c>
      <c r="H166" t="s">
        <v>1180</v>
      </c>
      <c r="I166">
        <v>13.3</v>
      </c>
      <c r="J166">
        <v>21</v>
      </c>
    </row>
    <row r="167" spans="1:10" x14ac:dyDescent="0.25">
      <c r="A167" t="s">
        <v>175</v>
      </c>
      <c r="B167" t="s">
        <v>574</v>
      </c>
      <c r="C167" t="s">
        <v>763</v>
      </c>
      <c r="D167" t="s">
        <v>1150</v>
      </c>
      <c r="E167">
        <v>2.2999999999999998</v>
      </c>
      <c r="F167">
        <v>4</v>
      </c>
      <c r="G167" t="s">
        <v>1164</v>
      </c>
      <c r="H167" t="s">
        <v>1180</v>
      </c>
      <c r="I167">
        <v>13.3</v>
      </c>
      <c r="J167">
        <v>21</v>
      </c>
    </row>
    <row r="168" spans="1:10" x14ac:dyDescent="0.25">
      <c r="A168" t="s">
        <v>176</v>
      </c>
      <c r="B168" t="s">
        <v>574</v>
      </c>
      <c r="C168" t="s">
        <v>764</v>
      </c>
      <c r="D168" t="s">
        <v>1151</v>
      </c>
      <c r="E168">
        <v>2.7</v>
      </c>
      <c r="F168">
        <v>6</v>
      </c>
      <c r="G168" t="s">
        <v>1164</v>
      </c>
      <c r="H168" t="s">
        <v>1180</v>
      </c>
      <c r="I168">
        <v>12</v>
      </c>
      <c r="J168">
        <v>24</v>
      </c>
    </row>
    <row r="169" spans="1:10" x14ac:dyDescent="0.25">
      <c r="A169" t="s">
        <v>177</v>
      </c>
      <c r="B169" t="s">
        <v>574</v>
      </c>
      <c r="C169" t="s">
        <v>765</v>
      </c>
      <c r="D169" t="s">
        <v>1150</v>
      </c>
      <c r="E169">
        <v>2.2999999999999998</v>
      </c>
      <c r="F169">
        <v>4</v>
      </c>
      <c r="G169" t="s">
        <v>1164</v>
      </c>
      <c r="H169" t="s">
        <v>1180</v>
      </c>
      <c r="I169">
        <v>13.2</v>
      </c>
      <c r="J169">
        <v>21</v>
      </c>
    </row>
    <row r="170" spans="1:10" x14ac:dyDescent="0.25">
      <c r="A170" t="s">
        <v>178</v>
      </c>
      <c r="B170" t="s">
        <v>574</v>
      </c>
      <c r="C170" t="s">
        <v>766</v>
      </c>
      <c r="D170" t="s">
        <v>1150</v>
      </c>
      <c r="E170">
        <v>1.5</v>
      </c>
      <c r="F170">
        <v>3</v>
      </c>
      <c r="G170" t="s">
        <v>1165</v>
      </c>
      <c r="H170" t="s">
        <v>1180</v>
      </c>
      <c r="I170">
        <v>8.6999999999999993</v>
      </c>
      <c r="J170">
        <v>32</v>
      </c>
    </row>
    <row r="171" spans="1:10" x14ac:dyDescent="0.25">
      <c r="A171" t="s">
        <v>179</v>
      </c>
      <c r="B171" t="s">
        <v>574</v>
      </c>
      <c r="C171" t="s">
        <v>767</v>
      </c>
      <c r="D171" t="s">
        <v>1150</v>
      </c>
      <c r="E171">
        <v>1.5</v>
      </c>
      <c r="F171">
        <v>3</v>
      </c>
      <c r="G171" t="s">
        <v>1165</v>
      </c>
      <c r="H171" t="s">
        <v>1180</v>
      </c>
      <c r="I171">
        <v>9.6999999999999993</v>
      </c>
      <c r="J171">
        <v>29</v>
      </c>
    </row>
    <row r="172" spans="1:10" x14ac:dyDescent="0.25">
      <c r="A172" t="s">
        <v>180</v>
      </c>
      <c r="B172" t="s">
        <v>574</v>
      </c>
      <c r="C172" t="s">
        <v>768</v>
      </c>
      <c r="D172" t="s">
        <v>1150</v>
      </c>
      <c r="E172">
        <v>1.5</v>
      </c>
      <c r="F172">
        <v>3</v>
      </c>
      <c r="G172" t="s">
        <v>1165</v>
      </c>
      <c r="H172" t="s">
        <v>1180</v>
      </c>
      <c r="I172">
        <v>8</v>
      </c>
      <c r="J172">
        <v>35</v>
      </c>
    </row>
    <row r="173" spans="1:10" x14ac:dyDescent="0.25">
      <c r="A173" t="s">
        <v>181</v>
      </c>
      <c r="B173" t="s">
        <v>574</v>
      </c>
      <c r="C173" t="s">
        <v>769</v>
      </c>
      <c r="D173" t="s">
        <v>1150</v>
      </c>
      <c r="E173">
        <v>1.5</v>
      </c>
      <c r="F173">
        <v>3</v>
      </c>
      <c r="G173" t="s">
        <v>1165</v>
      </c>
      <c r="H173" t="s">
        <v>1180</v>
      </c>
      <c r="I173">
        <v>8.4</v>
      </c>
      <c r="J173">
        <v>34</v>
      </c>
    </row>
    <row r="174" spans="1:10" x14ac:dyDescent="0.25">
      <c r="A174" t="s">
        <v>182</v>
      </c>
      <c r="B174" t="s">
        <v>574</v>
      </c>
      <c r="C174" t="s">
        <v>770</v>
      </c>
      <c r="D174" t="s">
        <v>1150</v>
      </c>
      <c r="E174">
        <v>2.5</v>
      </c>
      <c r="F174">
        <v>4</v>
      </c>
      <c r="G174" t="s">
        <v>1169</v>
      </c>
      <c r="H174" t="s">
        <v>1180</v>
      </c>
      <c r="I174">
        <v>6</v>
      </c>
      <c r="J174">
        <v>47</v>
      </c>
    </row>
    <row r="175" spans="1:10" x14ac:dyDescent="0.25">
      <c r="A175" t="s">
        <v>183</v>
      </c>
      <c r="B175" t="s">
        <v>574</v>
      </c>
      <c r="C175" t="s">
        <v>771</v>
      </c>
      <c r="D175" t="s">
        <v>1150</v>
      </c>
      <c r="E175">
        <v>2.5</v>
      </c>
      <c r="F175">
        <v>4</v>
      </c>
      <c r="G175" t="s">
        <v>1169</v>
      </c>
      <c r="H175" t="s">
        <v>1180</v>
      </c>
      <c r="I175">
        <v>6</v>
      </c>
      <c r="J175">
        <v>47</v>
      </c>
    </row>
    <row r="176" spans="1:10" x14ac:dyDescent="0.25">
      <c r="A176" t="s">
        <v>184</v>
      </c>
      <c r="B176" t="s">
        <v>574</v>
      </c>
      <c r="C176" t="s">
        <v>772</v>
      </c>
      <c r="D176" t="s">
        <v>1151</v>
      </c>
      <c r="E176">
        <v>3.5</v>
      </c>
      <c r="F176">
        <v>6</v>
      </c>
      <c r="G176" t="s">
        <v>1164</v>
      </c>
      <c r="H176" t="s">
        <v>1180</v>
      </c>
      <c r="I176">
        <v>13.3</v>
      </c>
      <c r="J176">
        <v>21</v>
      </c>
    </row>
    <row r="177" spans="1:10" x14ac:dyDescent="0.25">
      <c r="A177" t="s">
        <v>185</v>
      </c>
      <c r="B177" t="s">
        <v>574</v>
      </c>
      <c r="C177" t="s">
        <v>773</v>
      </c>
      <c r="D177" t="s">
        <v>1151</v>
      </c>
      <c r="E177">
        <v>2.2999999999999998</v>
      </c>
      <c r="F177">
        <v>4</v>
      </c>
      <c r="G177" t="s">
        <v>1172</v>
      </c>
      <c r="H177" t="s">
        <v>1180</v>
      </c>
      <c r="I177">
        <v>10.4</v>
      </c>
      <c r="J177">
        <v>27</v>
      </c>
    </row>
    <row r="178" spans="1:10" x14ac:dyDescent="0.25">
      <c r="A178" t="s">
        <v>186</v>
      </c>
      <c r="B178" t="s">
        <v>574</v>
      </c>
      <c r="C178" t="s">
        <v>774</v>
      </c>
      <c r="D178" t="s">
        <v>1159</v>
      </c>
      <c r="E178">
        <v>2.7</v>
      </c>
      <c r="F178">
        <v>6</v>
      </c>
      <c r="G178" t="s">
        <v>1164</v>
      </c>
      <c r="H178" t="s">
        <v>1180</v>
      </c>
      <c r="I178">
        <v>11.3</v>
      </c>
      <c r="J178">
        <v>25</v>
      </c>
    </row>
    <row r="179" spans="1:10" x14ac:dyDescent="0.25">
      <c r="A179" t="s">
        <v>187</v>
      </c>
      <c r="B179" t="s">
        <v>574</v>
      </c>
      <c r="C179" t="s">
        <v>775</v>
      </c>
      <c r="D179" t="s">
        <v>1159</v>
      </c>
      <c r="E179">
        <v>2.7</v>
      </c>
      <c r="F179">
        <v>6</v>
      </c>
      <c r="G179" t="s">
        <v>1164</v>
      </c>
      <c r="H179" t="s">
        <v>1180</v>
      </c>
      <c r="I179">
        <v>11.8</v>
      </c>
      <c r="J179">
        <v>24</v>
      </c>
    </row>
    <row r="180" spans="1:10" x14ac:dyDescent="0.25">
      <c r="A180" t="s">
        <v>188</v>
      </c>
      <c r="B180" t="s">
        <v>574</v>
      </c>
      <c r="C180" t="s">
        <v>776</v>
      </c>
      <c r="D180" t="s">
        <v>1159</v>
      </c>
      <c r="E180">
        <v>3.5</v>
      </c>
      <c r="F180">
        <v>6</v>
      </c>
      <c r="G180" t="s">
        <v>1164</v>
      </c>
      <c r="H180" t="s">
        <v>1180</v>
      </c>
      <c r="I180">
        <v>10.7</v>
      </c>
      <c r="J180">
        <v>26</v>
      </c>
    </row>
    <row r="181" spans="1:10" x14ac:dyDescent="0.25">
      <c r="A181" t="s">
        <v>189</v>
      </c>
      <c r="B181" t="s">
        <v>574</v>
      </c>
      <c r="C181" t="s">
        <v>777</v>
      </c>
      <c r="D181" t="s">
        <v>1159</v>
      </c>
      <c r="E181">
        <v>3.5</v>
      </c>
      <c r="F181">
        <v>6</v>
      </c>
      <c r="G181" t="s">
        <v>1164</v>
      </c>
      <c r="H181" t="s">
        <v>1180</v>
      </c>
      <c r="I181">
        <v>12.9</v>
      </c>
      <c r="J181">
        <v>22</v>
      </c>
    </row>
    <row r="182" spans="1:10" x14ac:dyDescent="0.25">
      <c r="A182" t="s">
        <v>190</v>
      </c>
      <c r="B182" t="s">
        <v>574</v>
      </c>
      <c r="C182" t="s">
        <v>778</v>
      </c>
      <c r="D182" t="s">
        <v>1159</v>
      </c>
      <c r="E182">
        <v>3.5</v>
      </c>
      <c r="F182">
        <v>6</v>
      </c>
      <c r="G182" t="s">
        <v>1164</v>
      </c>
      <c r="H182" t="s">
        <v>1180</v>
      </c>
      <c r="I182">
        <v>15</v>
      </c>
      <c r="J182">
        <v>19</v>
      </c>
    </row>
    <row r="183" spans="1:10" x14ac:dyDescent="0.25">
      <c r="A183" t="s">
        <v>191</v>
      </c>
      <c r="B183" t="s">
        <v>574</v>
      </c>
      <c r="C183" t="s">
        <v>779</v>
      </c>
      <c r="D183" t="s">
        <v>1159</v>
      </c>
      <c r="E183">
        <v>5.2</v>
      </c>
      <c r="F183">
        <v>8</v>
      </c>
      <c r="G183" t="s">
        <v>1164</v>
      </c>
      <c r="H183" t="s">
        <v>1032</v>
      </c>
      <c r="I183">
        <v>19.7</v>
      </c>
      <c r="J183">
        <v>14</v>
      </c>
    </row>
    <row r="184" spans="1:10" x14ac:dyDescent="0.25">
      <c r="A184" t="s">
        <v>192</v>
      </c>
      <c r="B184" t="s">
        <v>574</v>
      </c>
      <c r="C184" t="s">
        <v>780</v>
      </c>
      <c r="D184" t="s">
        <v>1161</v>
      </c>
      <c r="E184">
        <v>2</v>
      </c>
      <c r="F184">
        <v>4</v>
      </c>
      <c r="G184" t="s">
        <v>1165</v>
      </c>
      <c r="H184" t="s">
        <v>1180</v>
      </c>
      <c r="I184">
        <v>9.4</v>
      </c>
      <c r="J184">
        <v>30</v>
      </c>
    </row>
    <row r="185" spans="1:10" x14ac:dyDescent="0.25">
      <c r="A185" t="s">
        <v>193</v>
      </c>
      <c r="B185" t="s">
        <v>574</v>
      </c>
      <c r="C185" t="s">
        <v>781</v>
      </c>
      <c r="D185" t="s">
        <v>1161</v>
      </c>
      <c r="E185">
        <v>2</v>
      </c>
      <c r="F185">
        <v>4</v>
      </c>
      <c r="G185" t="s">
        <v>1168</v>
      </c>
      <c r="H185" t="s">
        <v>1180</v>
      </c>
      <c r="I185">
        <v>9.6999999999999993</v>
      </c>
      <c r="J185">
        <v>29</v>
      </c>
    </row>
    <row r="186" spans="1:10" x14ac:dyDescent="0.25">
      <c r="A186" t="s">
        <v>194</v>
      </c>
      <c r="B186" t="s">
        <v>574</v>
      </c>
      <c r="C186" t="s">
        <v>782</v>
      </c>
      <c r="D186" t="s">
        <v>1161</v>
      </c>
      <c r="E186">
        <v>2</v>
      </c>
      <c r="F186">
        <v>4</v>
      </c>
      <c r="G186" t="s">
        <v>1168</v>
      </c>
      <c r="H186" t="s">
        <v>1180</v>
      </c>
      <c r="I186">
        <v>10.1</v>
      </c>
      <c r="J186">
        <v>28</v>
      </c>
    </row>
    <row r="187" spans="1:10" x14ac:dyDescent="0.25">
      <c r="A187" t="s">
        <v>195</v>
      </c>
      <c r="B187" t="s">
        <v>574</v>
      </c>
      <c r="C187" t="s">
        <v>783</v>
      </c>
      <c r="D187" t="s">
        <v>1161</v>
      </c>
      <c r="E187">
        <v>2.5</v>
      </c>
      <c r="F187">
        <v>4</v>
      </c>
      <c r="G187" t="s">
        <v>1169</v>
      </c>
      <c r="H187" t="s">
        <v>1180</v>
      </c>
      <c r="I187">
        <v>6.2</v>
      </c>
      <c r="J187">
        <v>46</v>
      </c>
    </row>
    <row r="188" spans="1:10" x14ac:dyDescent="0.25">
      <c r="A188" t="s">
        <v>196</v>
      </c>
      <c r="B188" t="s">
        <v>574</v>
      </c>
      <c r="C188" t="s">
        <v>784</v>
      </c>
      <c r="D188" t="s">
        <v>1161</v>
      </c>
      <c r="E188">
        <v>2.5</v>
      </c>
      <c r="F188">
        <v>4</v>
      </c>
      <c r="G188" t="s">
        <v>1169</v>
      </c>
      <c r="H188" t="s">
        <v>1180</v>
      </c>
      <c r="I188">
        <v>6.3</v>
      </c>
      <c r="J188">
        <v>45</v>
      </c>
    </row>
    <row r="189" spans="1:10" x14ac:dyDescent="0.25">
      <c r="A189" t="s">
        <v>197</v>
      </c>
      <c r="B189" t="s">
        <v>574</v>
      </c>
      <c r="C189" t="s">
        <v>785</v>
      </c>
      <c r="D189" t="s">
        <v>1156</v>
      </c>
      <c r="E189">
        <v>2.2999999999999998</v>
      </c>
      <c r="F189">
        <v>4</v>
      </c>
      <c r="G189" t="s">
        <v>1172</v>
      </c>
      <c r="H189" t="s">
        <v>1180</v>
      </c>
      <c r="I189">
        <v>9.1999999999999993</v>
      </c>
      <c r="J189">
        <v>31</v>
      </c>
    </row>
    <row r="190" spans="1:10" x14ac:dyDescent="0.25">
      <c r="A190" t="s">
        <v>198</v>
      </c>
      <c r="B190" t="s">
        <v>574</v>
      </c>
      <c r="C190" t="s">
        <v>786</v>
      </c>
      <c r="D190" t="s">
        <v>1156</v>
      </c>
      <c r="E190">
        <v>5</v>
      </c>
      <c r="F190">
        <v>8</v>
      </c>
      <c r="G190" t="s">
        <v>1164</v>
      </c>
      <c r="H190" t="s">
        <v>1180</v>
      </c>
      <c r="I190">
        <v>14</v>
      </c>
      <c r="J190">
        <v>20</v>
      </c>
    </row>
    <row r="191" spans="1:10" x14ac:dyDescent="0.25">
      <c r="A191" t="s">
        <v>199</v>
      </c>
      <c r="B191" t="s">
        <v>574</v>
      </c>
      <c r="C191" t="s">
        <v>787</v>
      </c>
      <c r="D191" t="s">
        <v>1156</v>
      </c>
      <c r="E191">
        <v>5.2</v>
      </c>
      <c r="F191">
        <v>8</v>
      </c>
      <c r="G191" t="s">
        <v>1173</v>
      </c>
      <c r="H191" t="s">
        <v>1032</v>
      </c>
      <c r="I191">
        <v>19.2</v>
      </c>
      <c r="J191">
        <v>15</v>
      </c>
    </row>
    <row r="192" spans="1:10" x14ac:dyDescent="0.25">
      <c r="A192" t="s">
        <v>200</v>
      </c>
      <c r="B192" t="s">
        <v>574</v>
      </c>
      <c r="C192" t="s">
        <v>788</v>
      </c>
      <c r="D192" t="s">
        <v>1159</v>
      </c>
      <c r="E192">
        <v>2.2999999999999998</v>
      </c>
      <c r="F192">
        <v>4</v>
      </c>
      <c r="G192" t="s">
        <v>1164</v>
      </c>
      <c r="H192" t="s">
        <v>1180</v>
      </c>
      <c r="I192">
        <v>10.7</v>
      </c>
      <c r="J192">
        <v>26</v>
      </c>
    </row>
    <row r="193" spans="1:10" x14ac:dyDescent="0.25">
      <c r="A193" t="s">
        <v>201</v>
      </c>
      <c r="B193" t="s">
        <v>574</v>
      </c>
      <c r="C193" t="s">
        <v>789</v>
      </c>
      <c r="D193" t="s">
        <v>1159</v>
      </c>
      <c r="E193">
        <v>3</v>
      </c>
      <c r="F193">
        <v>6</v>
      </c>
      <c r="G193" t="s">
        <v>1164</v>
      </c>
      <c r="H193" t="s">
        <v>1180</v>
      </c>
      <c r="I193">
        <v>14</v>
      </c>
      <c r="J193">
        <v>20</v>
      </c>
    </row>
    <row r="194" spans="1:10" x14ac:dyDescent="0.25">
      <c r="A194" t="s">
        <v>202</v>
      </c>
      <c r="B194" t="s">
        <v>575</v>
      </c>
      <c r="C194" t="s">
        <v>790</v>
      </c>
      <c r="D194" t="s">
        <v>1152</v>
      </c>
      <c r="E194">
        <v>2.5</v>
      </c>
      <c r="F194">
        <v>4</v>
      </c>
      <c r="G194" t="s">
        <v>1168</v>
      </c>
      <c r="H194" t="s">
        <v>1032</v>
      </c>
      <c r="I194">
        <v>10.199999999999999</v>
      </c>
      <c r="J194">
        <v>28</v>
      </c>
    </row>
    <row r="195" spans="1:10" x14ac:dyDescent="0.25">
      <c r="A195" t="s">
        <v>203</v>
      </c>
      <c r="B195" t="s">
        <v>575</v>
      </c>
      <c r="C195" t="s">
        <v>791</v>
      </c>
      <c r="D195" t="s">
        <v>1149</v>
      </c>
      <c r="E195">
        <v>2.5</v>
      </c>
      <c r="F195">
        <v>4</v>
      </c>
      <c r="G195" t="s">
        <v>1168</v>
      </c>
      <c r="H195" t="s">
        <v>1032</v>
      </c>
      <c r="I195">
        <v>10</v>
      </c>
      <c r="J195">
        <v>28</v>
      </c>
    </row>
    <row r="196" spans="1:10" x14ac:dyDescent="0.25">
      <c r="A196" t="s">
        <v>204</v>
      </c>
      <c r="B196" t="s">
        <v>575</v>
      </c>
      <c r="C196" t="s">
        <v>792</v>
      </c>
      <c r="D196" t="s">
        <v>1149</v>
      </c>
      <c r="E196">
        <v>3.5</v>
      </c>
      <c r="F196">
        <v>6</v>
      </c>
      <c r="G196" t="s">
        <v>1168</v>
      </c>
      <c r="H196" t="s">
        <v>1032</v>
      </c>
      <c r="I196">
        <v>11.8</v>
      </c>
      <c r="J196">
        <v>24</v>
      </c>
    </row>
    <row r="197" spans="1:10" x14ac:dyDescent="0.25">
      <c r="A197" t="s">
        <v>205</v>
      </c>
      <c r="B197" t="s">
        <v>575</v>
      </c>
      <c r="C197" t="s">
        <v>793</v>
      </c>
      <c r="D197" t="s">
        <v>1150</v>
      </c>
      <c r="E197">
        <v>2.5</v>
      </c>
      <c r="F197">
        <v>4</v>
      </c>
      <c r="G197" t="s">
        <v>1168</v>
      </c>
      <c r="H197" t="s">
        <v>1032</v>
      </c>
      <c r="I197">
        <v>10.6</v>
      </c>
      <c r="J197">
        <v>27</v>
      </c>
    </row>
    <row r="198" spans="1:10" x14ac:dyDescent="0.25">
      <c r="A198" t="s">
        <v>206</v>
      </c>
      <c r="B198" t="s">
        <v>575</v>
      </c>
      <c r="C198" t="s">
        <v>794</v>
      </c>
      <c r="D198" t="s">
        <v>1151</v>
      </c>
      <c r="E198">
        <v>3.5</v>
      </c>
      <c r="F198">
        <v>6</v>
      </c>
      <c r="G198" t="s">
        <v>1168</v>
      </c>
      <c r="H198" t="s">
        <v>1032</v>
      </c>
      <c r="I198">
        <v>12</v>
      </c>
      <c r="J198">
        <v>24</v>
      </c>
    </row>
    <row r="199" spans="1:10" x14ac:dyDescent="0.25">
      <c r="A199" t="s">
        <v>207</v>
      </c>
      <c r="B199" t="s">
        <v>575</v>
      </c>
      <c r="C199" t="s">
        <v>795</v>
      </c>
      <c r="D199" t="s">
        <v>1151</v>
      </c>
      <c r="E199">
        <v>2.5</v>
      </c>
      <c r="F199">
        <v>4</v>
      </c>
      <c r="G199" t="s">
        <v>1168</v>
      </c>
      <c r="H199" t="s">
        <v>1032</v>
      </c>
      <c r="I199">
        <v>11.3</v>
      </c>
      <c r="J199">
        <v>25</v>
      </c>
    </row>
    <row r="200" spans="1:10" x14ac:dyDescent="0.25">
      <c r="A200" t="s">
        <v>208</v>
      </c>
      <c r="B200" t="s">
        <v>576</v>
      </c>
      <c r="C200" t="s">
        <v>796</v>
      </c>
      <c r="D200" t="s">
        <v>1151</v>
      </c>
      <c r="E200">
        <v>2.5</v>
      </c>
      <c r="F200">
        <v>4</v>
      </c>
      <c r="G200" t="s">
        <v>1165</v>
      </c>
      <c r="H200" t="s">
        <v>1180</v>
      </c>
      <c r="I200">
        <v>11.2</v>
      </c>
      <c r="J200">
        <v>25</v>
      </c>
    </row>
    <row r="201" spans="1:10" x14ac:dyDescent="0.25">
      <c r="A201" t="s">
        <v>209</v>
      </c>
      <c r="B201" t="s">
        <v>576</v>
      </c>
      <c r="C201" t="s">
        <v>797</v>
      </c>
      <c r="D201" t="s">
        <v>1159</v>
      </c>
      <c r="E201">
        <v>2.7</v>
      </c>
      <c r="F201">
        <v>4</v>
      </c>
      <c r="G201" t="s">
        <v>1165</v>
      </c>
      <c r="H201" t="s">
        <v>1180</v>
      </c>
      <c r="I201">
        <v>11.5</v>
      </c>
      <c r="J201">
        <v>25</v>
      </c>
    </row>
    <row r="202" spans="1:10" x14ac:dyDescent="0.25">
      <c r="A202" t="s">
        <v>210</v>
      </c>
      <c r="B202" t="s">
        <v>576</v>
      </c>
      <c r="C202" t="s">
        <v>798</v>
      </c>
      <c r="D202" t="s">
        <v>1159</v>
      </c>
      <c r="E202">
        <v>2.7</v>
      </c>
      <c r="F202">
        <v>4</v>
      </c>
      <c r="G202" t="s">
        <v>1165</v>
      </c>
      <c r="H202" t="s">
        <v>1180</v>
      </c>
      <c r="I202">
        <v>12.4</v>
      </c>
      <c r="J202">
        <v>23</v>
      </c>
    </row>
    <row r="203" spans="1:10" x14ac:dyDescent="0.25">
      <c r="A203" t="s">
        <v>211</v>
      </c>
      <c r="B203" t="s">
        <v>576</v>
      </c>
      <c r="C203" t="s">
        <v>799</v>
      </c>
      <c r="D203" t="s">
        <v>1159</v>
      </c>
      <c r="E203">
        <v>2.7</v>
      </c>
      <c r="F203">
        <v>4</v>
      </c>
      <c r="G203" t="s">
        <v>1165</v>
      </c>
      <c r="H203" t="s">
        <v>1180</v>
      </c>
      <c r="I203">
        <v>14</v>
      </c>
      <c r="J203">
        <v>20</v>
      </c>
    </row>
    <row r="204" spans="1:10" x14ac:dyDescent="0.25">
      <c r="A204" t="s">
        <v>212</v>
      </c>
      <c r="B204" t="s">
        <v>576</v>
      </c>
      <c r="C204" t="s">
        <v>800</v>
      </c>
      <c r="D204" t="s">
        <v>1159</v>
      </c>
      <c r="E204">
        <v>2.7</v>
      </c>
      <c r="F204">
        <v>4</v>
      </c>
      <c r="G204" t="s">
        <v>1165</v>
      </c>
      <c r="H204" t="s">
        <v>1180</v>
      </c>
      <c r="I204">
        <v>14.9</v>
      </c>
      <c r="J204">
        <v>19</v>
      </c>
    </row>
    <row r="205" spans="1:10" x14ac:dyDescent="0.25">
      <c r="A205" t="s">
        <v>213</v>
      </c>
      <c r="B205" t="s">
        <v>576</v>
      </c>
      <c r="C205" t="s">
        <v>801</v>
      </c>
      <c r="D205" t="s">
        <v>1159</v>
      </c>
      <c r="E205">
        <v>2.7</v>
      </c>
      <c r="F205">
        <v>4</v>
      </c>
      <c r="G205" t="s">
        <v>1165</v>
      </c>
      <c r="H205" t="s">
        <v>1180</v>
      </c>
      <c r="I205">
        <v>12.5</v>
      </c>
      <c r="J205">
        <v>23</v>
      </c>
    </row>
    <row r="206" spans="1:10" x14ac:dyDescent="0.25">
      <c r="A206" t="s">
        <v>214</v>
      </c>
      <c r="B206" t="s">
        <v>576</v>
      </c>
      <c r="C206" t="s">
        <v>802</v>
      </c>
      <c r="D206" t="s">
        <v>1159</v>
      </c>
      <c r="E206">
        <v>2.7</v>
      </c>
      <c r="F206">
        <v>4</v>
      </c>
      <c r="G206" t="s">
        <v>1165</v>
      </c>
      <c r="H206" t="s">
        <v>1180</v>
      </c>
      <c r="I206">
        <v>13.5</v>
      </c>
      <c r="J206">
        <v>21</v>
      </c>
    </row>
    <row r="207" spans="1:10" x14ac:dyDescent="0.25">
      <c r="A207" t="s">
        <v>215</v>
      </c>
      <c r="B207" t="s">
        <v>576</v>
      </c>
      <c r="C207" t="s">
        <v>803</v>
      </c>
      <c r="D207" t="s">
        <v>1159</v>
      </c>
      <c r="E207">
        <v>2.7</v>
      </c>
      <c r="F207">
        <v>4</v>
      </c>
      <c r="G207" t="s">
        <v>1165</v>
      </c>
      <c r="H207" t="s">
        <v>1180</v>
      </c>
      <c r="I207">
        <v>13.6</v>
      </c>
      <c r="J207">
        <v>21</v>
      </c>
    </row>
    <row r="208" spans="1:10" x14ac:dyDescent="0.25">
      <c r="A208" t="s">
        <v>216</v>
      </c>
      <c r="B208" t="s">
        <v>576</v>
      </c>
      <c r="C208" t="s">
        <v>804</v>
      </c>
      <c r="D208" t="s">
        <v>1159</v>
      </c>
      <c r="E208">
        <v>2.7</v>
      </c>
      <c r="F208">
        <v>4</v>
      </c>
      <c r="G208" t="s">
        <v>1165</v>
      </c>
      <c r="H208" t="s">
        <v>1180</v>
      </c>
      <c r="I208">
        <v>14.3</v>
      </c>
      <c r="J208">
        <v>20</v>
      </c>
    </row>
    <row r="209" spans="1:10" x14ac:dyDescent="0.25">
      <c r="A209" t="s">
        <v>217</v>
      </c>
      <c r="B209" t="s">
        <v>576</v>
      </c>
      <c r="C209" t="s">
        <v>805</v>
      </c>
      <c r="D209" t="s">
        <v>1159</v>
      </c>
      <c r="E209">
        <v>5.3</v>
      </c>
      <c r="F209">
        <v>8</v>
      </c>
      <c r="G209" t="s">
        <v>1172</v>
      </c>
      <c r="H209" t="s">
        <v>1180</v>
      </c>
      <c r="I209">
        <v>13.9</v>
      </c>
      <c r="J209">
        <v>20</v>
      </c>
    </row>
    <row r="210" spans="1:10" x14ac:dyDescent="0.25">
      <c r="A210" t="s">
        <v>218</v>
      </c>
      <c r="B210" t="s">
        <v>576</v>
      </c>
      <c r="C210" t="s">
        <v>806</v>
      </c>
      <c r="D210" t="s">
        <v>1159</v>
      </c>
      <c r="E210">
        <v>3</v>
      </c>
      <c r="F210">
        <v>6</v>
      </c>
      <c r="G210" t="s">
        <v>1172</v>
      </c>
      <c r="H210" t="s">
        <v>1181</v>
      </c>
      <c r="I210">
        <v>12.1</v>
      </c>
      <c r="J210">
        <v>23</v>
      </c>
    </row>
    <row r="211" spans="1:10" x14ac:dyDescent="0.25">
      <c r="A211" t="s">
        <v>219</v>
      </c>
      <c r="B211" t="s">
        <v>576</v>
      </c>
      <c r="C211" t="s">
        <v>807</v>
      </c>
      <c r="D211" t="s">
        <v>1150</v>
      </c>
      <c r="E211">
        <v>1.5</v>
      </c>
      <c r="F211">
        <v>4</v>
      </c>
      <c r="G211" t="s">
        <v>1169</v>
      </c>
      <c r="H211" t="s">
        <v>1180</v>
      </c>
      <c r="I211">
        <v>8.8000000000000007</v>
      </c>
      <c r="J211">
        <v>32</v>
      </c>
    </row>
    <row r="212" spans="1:10" x14ac:dyDescent="0.25">
      <c r="A212" t="s">
        <v>220</v>
      </c>
      <c r="B212" t="s">
        <v>576</v>
      </c>
      <c r="C212" t="s">
        <v>808</v>
      </c>
      <c r="D212" t="s">
        <v>1150</v>
      </c>
      <c r="E212">
        <v>1.5</v>
      </c>
      <c r="F212">
        <v>4</v>
      </c>
      <c r="G212" t="s">
        <v>1165</v>
      </c>
      <c r="H212" t="s">
        <v>1180</v>
      </c>
      <c r="I212">
        <v>9.3000000000000007</v>
      </c>
      <c r="J212">
        <v>30</v>
      </c>
    </row>
    <row r="213" spans="1:10" x14ac:dyDescent="0.25">
      <c r="A213" t="s">
        <v>221</v>
      </c>
      <c r="B213" t="s">
        <v>576</v>
      </c>
      <c r="C213" t="s">
        <v>809</v>
      </c>
      <c r="D213" t="s">
        <v>1151</v>
      </c>
      <c r="E213">
        <v>5.3</v>
      </c>
      <c r="F213">
        <v>8</v>
      </c>
      <c r="G213" t="s">
        <v>1172</v>
      </c>
      <c r="H213" t="s">
        <v>1180</v>
      </c>
      <c r="I213">
        <v>14</v>
      </c>
      <c r="J213">
        <v>20</v>
      </c>
    </row>
    <row r="214" spans="1:10" x14ac:dyDescent="0.25">
      <c r="A214" t="s">
        <v>222</v>
      </c>
      <c r="B214" t="s">
        <v>576</v>
      </c>
      <c r="C214" t="s">
        <v>810</v>
      </c>
      <c r="D214" t="s">
        <v>1151</v>
      </c>
      <c r="E214">
        <v>3</v>
      </c>
      <c r="F214">
        <v>6</v>
      </c>
      <c r="G214" t="s">
        <v>1172</v>
      </c>
      <c r="H214" t="s">
        <v>1181</v>
      </c>
      <c r="I214">
        <v>10.7</v>
      </c>
      <c r="J214">
        <v>26</v>
      </c>
    </row>
    <row r="215" spans="1:10" x14ac:dyDescent="0.25">
      <c r="A215" t="s">
        <v>223</v>
      </c>
      <c r="B215" t="s">
        <v>576</v>
      </c>
      <c r="C215" t="s">
        <v>811</v>
      </c>
      <c r="D215" t="s">
        <v>1151</v>
      </c>
      <c r="E215">
        <v>5.3</v>
      </c>
      <c r="F215">
        <v>8</v>
      </c>
      <c r="G215" t="s">
        <v>1172</v>
      </c>
      <c r="H215" t="s">
        <v>1180</v>
      </c>
      <c r="I215">
        <v>14</v>
      </c>
      <c r="J215">
        <v>20</v>
      </c>
    </row>
    <row r="216" spans="1:10" x14ac:dyDescent="0.25">
      <c r="A216" t="s">
        <v>224</v>
      </c>
      <c r="B216" t="s">
        <v>576</v>
      </c>
      <c r="C216" t="s">
        <v>812</v>
      </c>
      <c r="D216" t="s">
        <v>1151</v>
      </c>
      <c r="E216">
        <v>3</v>
      </c>
      <c r="F216">
        <v>6</v>
      </c>
      <c r="G216" t="s">
        <v>1172</v>
      </c>
      <c r="H216" t="s">
        <v>1181</v>
      </c>
      <c r="I216">
        <v>10.7</v>
      </c>
      <c r="J216">
        <v>26</v>
      </c>
    </row>
    <row r="217" spans="1:10" x14ac:dyDescent="0.25">
      <c r="A217" t="s">
        <v>225</v>
      </c>
      <c r="B217" t="s">
        <v>577</v>
      </c>
      <c r="C217" t="s">
        <v>813</v>
      </c>
      <c r="D217" t="s">
        <v>1149</v>
      </c>
      <c r="E217">
        <v>1.5</v>
      </c>
      <c r="F217">
        <v>4</v>
      </c>
      <c r="G217" t="s">
        <v>1169</v>
      </c>
      <c r="H217" t="s">
        <v>1180</v>
      </c>
      <c r="I217">
        <v>7.3</v>
      </c>
      <c r="J217">
        <v>39</v>
      </c>
    </row>
    <row r="218" spans="1:10" x14ac:dyDescent="0.25">
      <c r="A218" t="s">
        <v>226</v>
      </c>
      <c r="B218" t="s">
        <v>577</v>
      </c>
      <c r="C218" t="s">
        <v>814</v>
      </c>
      <c r="D218" t="s">
        <v>1153</v>
      </c>
      <c r="E218">
        <v>2</v>
      </c>
      <c r="F218">
        <v>4</v>
      </c>
      <c r="G218" t="s">
        <v>1169</v>
      </c>
      <c r="H218" t="s">
        <v>1180</v>
      </c>
      <c r="I218">
        <v>5.3</v>
      </c>
      <c r="J218">
        <v>53</v>
      </c>
    </row>
    <row r="219" spans="1:10" x14ac:dyDescent="0.25">
      <c r="A219" t="s">
        <v>227</v>
      </c>
      <c r="B219" t="s">
        <v>577</v>
      </c>
      <c r="C219" t="s">
        <v>815</v>
      </c>
      <c r="D219" t="s">
        <v>1149</v>
      </c>
      <c r="E219">
        <v>2</v>
      </c>
      <c r="F219">
        <v>4</v>
      </c>
      <c r="G219" t="s">
        <v>1169</v>
      </c>
      <c r="H219" t="s">
        <v>1180</v>
      </c>
      <c r="I219">
        <v>7</v>
      </c>
      <c r="J219">
        <v>40</v>
      </c>
    </row>
    <row r="220" spans="1:10" x14ac:dyDescent="0.25">
      <c r="A220" t="s">
        <v>228</v>
      </c>
      <c r="B220" t="s">
        <v>577</v>
      </c>
      <c r="C220" t="s">
        <v>816</v>
      </c>
      <c r="D220" t="s">
        <v>1149</v>
      </c>
      <c r="E220">
        <v>2</v>
      </c>
      <c r="F220">
        <v>4</v>
      </c>
      <c r="G220" t="s">
        <v>1169</v>
      </c>
      <c r="H220" t="s">
        <v>1180</v>
      </c>
      <c r="I220">
        <v>5</v>
      </c>
      <c r="J220">
        <v>56</v>
      </c>
    </row>
    <row r="221" spans="1:10" x14ac:dyDescent="0.25">
      <c r="A221" t="s">
        <v>229</v>
      </c>
      <c r="B221" t="s">
        <v>577</v>
      </c>
      <c r="C221" t="s">
        <v>817</v>
      </c>
      <c r="D221" t="s">
        <v>1153</v>
      </c>
      <c r="E221">
        <v>2</v>
      </c>
      <c r="F221">
        <v>4</v>
      </c>
      <c r="G221" t="s">
        <v>1169</v>
      </c>
      <c r="H221" t="s">
        <v>1180</v>
      </c>
      <c r="I221">
        <v>6.7</v>
      </c>
      <c r="J221">
        <v>42</v>
      </c>
    </row>
    <row r="222" spans="1:10" x14ac:dyDescent="0.25">
      <c r="A222" t="s">
        <v>230</v>
      </c>
      <c r="B222" t="s">
        <v>577</v>
      </c>
      <c r="C222" t="s">
        <v>818</v>
      </c>
      <c r="D222" t="s">
        <v>1153</v>
      </c>
      <c r="E222">
        <v>2</v>
      </c>
      <c r="F222">
        <v>4</v>
      </c>
      <c r="G222" t="s">
        <v>1169</v>
      </c>
      <c r="H222" t="s">
        <v>1180</v>
      </c>
      <c r="I222">
        <v>4.9000000000000004</v>
      </c>
      <c r="J222">
        <v>58</v>
      </c>
    </row>
    <row r="223" spans="1:10" x14ac:dyDescent="0.25">
      <c r="A223" t="s">
        <v>231</v>
      </c>
      <c r="B223" t="s">
        <v>577</v>
      </c>
      <c r="C223" t="s">
        <v>819</v>
      </c>
      <c r="D223" t="s">
        <v>1153</v>
      </c>
      <c r="E223">
        <v>1.5</v>
      </c>
      <c r="F223">
        <v>4</v>
      </c>
      <c r="G223" t="s">
        <v>1163</v>
      </c>
      <c r="H223" t="s">
        <v>1032</v>
      </c>
      <c r="I223">
        <v>7.7</v>
      </c>
      <c r="J223">
        <v>37</v>
      </c>
    </row>
    <row r="224" spans="1:10" x14ac:dyDescent="0.25">
      <c r="A224" t="s">
        <v>232</v>
      </c>
      <c r="B224" t="s">
        <v>577</v>
      </c>
      <c r="C224" t="s">
        <v>820</v>
      </c>
      <c r="D224" t="s">
        <v>1149</v>
      </c>
      <c r="E224">
        <v>2</v>
      </c>
      <c r="F224">
        <v>4</v>
      </c>
      <c r="G224" t="s">
        <v>1163</v>
      </c>
      <c r="H224" t="s">
        <v>1032</v>
      </c>
      <c r="I224">
        <v>9.6999999999999993</v>
      </c>
      <c r="J224">
        <v>29</v>
      </c>
    </row>
    <row r="225" spans="1:10" x14ac:dyDescent="0.25">
      <c r="A225" t="s">
        <v>233</v>
      </c>
      <c r="B225" t="s">
        <v>577</v>
      </c>
      <c r="C225" t="s">
        <v>821</v>
      </c>
      <c r="D225" t="s">
        <v>1150</v>
      </c>
      <c r="E225">
        <v>1.5</v>
      </c>
      <c r="F225">
        <v>4</v>
      </c>
      <c r="G225" t="s">
        <v>1169</v>
      </c>
      <c r="H225" t="s">
        <v>1180</v>
      </c>
      <c r="I225">
        <v>7.8</v>
      </c>
      <c r="J225">
        <v>36</v>
      </c>
    </row>
    <row r="226" spans="1:10" x14ac:dyDescent="0.25">
      <c r="A226" t="s">
        <v>234</v>
      </c>
      <c r="B226" t="s">
        <v>577</v>
      </c>
      <c r="C226" t="s">
        <v>822</v>
      </c>
      <c r="D226" t="s">
        <v>1150</v>
      </c>
      <c r="E226">
        <v>1.5</v>
      </c>
      <c r="F226">
        <v>4</v>
      </c>
      <c r="G226" t="s">
        <v>1169</v>
      </c>
      <c r="H226" t="s">
        <v>1180</v>
      </c>
      <c r="I226">
        <v>8.4</v>
      </c>
      <c r="J226">
        <v>34</v>
      </c>
    </row>
    <row r="227" spans="1:10" x14ac:dyDescent="0.25">
      <c r="A227" t="s">
        <v>235</v>
      </c>
      <c r="B227" t="s">
        <v>577</v>
      </c>
      <c r="C227" t="s">
        <v>823</v>
      </c>
      <c r="D227" t="s">
        <v>1150</v>
      </c>
      <c r="E227">
        <v>2</v>
      </c>
      <c r="F227">
        <v>4</v>
      </c>
      <c r="G227" t="s">
        <v>1169</v>
      </c>
      <c r="H227" t="s">
        <v>1180</v>
      </c>
      <c r="I227">
        <v>6.4</v>
      </c>
      <c r="J227">
        <v>44</v>
      </c>
    </row>
    <row r="228" spans="1:10" x14ac:dyDescent="0.25">
      <c r="A228" t="s">
        <v>236</v>
      </c>
      <c r="B228" t="s">
        <v>577</v>
      </c>
      <c r="C228" t="s">
        <v>824</v>
      </c>
      <c r="D228" t="s">
        <v>1157</v>
      </c>
      <c r="E228">
        <v>2</v>
      </c>
      <c r="F228">
        <v>4</v>
      </c>
      <c r="G228" t="s">
        <v>1169</v>
      </c>
      <c r="H228" t="s">
        <v>1180</v>
      </c>
      <c r="I228">
        <v>8.3000000000000007</v>
      </c>
      <c r="J228">
        <v>34</v>
      </c>
    </row>
    <row r="229" spans="1:10" x14ac:dyDescent="0.25">
      <c r="A229" t="s">
        <v>237</v>
      </c>
      <c r="B229" t="s">
        <v>577</v>
      </c>
      <c r="C229" t="s">
        <v>825</v>
      </c>
      <c r="D229" t="s">
        <v>1157</v>
      </c>
      <c r="E229">
        <v>2</v>
      </c>
      <c r="F229">
        <v>4</v>
      </c>
      <c r="G229" t="s">
        <v>1169</v>
      </c>
      <c r="H229" t="s">
        <v>1180</v>
      </c>
      <c r="I229">
        <v>8.6999999999999993</v>
      </c>
      <c r="J229">
        <v>32</v>
      </c>
    </row>
    <row r="230" spans="1:10" x14ac:dyDescent="0.25">
      <c r="A230" t="s">
        <v>238</v>
      </c>
      <c r="B230" t="s">
        <v>577</v>
      </c>
      <c r="C230" t="s">
        <v>826</v>
      </c>
      <c r="D230" t="s">
        <v>1160</v>
      </c>
      <c r="E230">
        <v>3.5</v>
      </c>
      <c r="F230">
        <v>6</v>
      </c>
      <c r="G230" t="s">
        <v>1164</v>
      </c>
      <c r="H230" t="s">
        <v>1180</v>
      </c>
      <c r="I230">
        <v>10.6</v>
      </c>
      <c r="J230">
        <v>27</v>
      </c>
    </row>
    <row r="231" spans="1:10" x14ac:dyDescent="0.25">
      <c r="A231" t="s">
        <v>239</v>
      </c>
      <c r="B231" t="s">
        <v>577</v>
      </c>
      <c r="C231" t="s">
        <v>827</v>
      </c>
      <c r="D231" t="s">
        <v>1150</v>
      </c>
      <c r="E231">
        <v>3.5</v>
      </c>
      <c r="F231">
        <v>6</v>
      </c>
      <c r="G231" t="s">
        <v>1170</v>
      </c>
      <c r="H231" t="s">
        <v>1180</v>
      </c>
      <c r="I231">
        <v>11.3</v>
      </c>
      <c r="J231">
        <v>25</v>
      </c>
    </row>
    <row r="232" spans="1:10" x14ac:dyDescent="0.25">
      <c r="A232" t="s">
        <v>240</v>
      </c>
      <c r="B232" t="s">
        <v>577</v>
      </c>
      <c r="C232" t="s">
        <v>828</v>
      </c>
      <c r="D232" t="s">
        <v>1151</v>
      </c>
      <c r="E232">
        <v>3.5</v>
      </c>
      <c r="F232">
        <v>6</v>
      </c>
      <c r="G232" t="s">
        <v>1164</v>
      </c>
      <c r="H232" t="s">
        <v>1180</v>
      </c>
      <c r="I232">
        <v>11</v>
      </c>
      <c r="J232">
        <v>26</v>
      </c>
    </row>
    <row r="233" spans="1:10" x14ac:dyDescent="0.25">
      <c r="A233" t="s">
        <v>241</v>
      </c>
      <c r="B233" t="s">
        <v>577</v>
      </c>
      <c r="C233" t="s">
        <v>829</v>
      </c>
      <c r="D233" t="s">
        <v>1151</v>
      </c>
      <c r="E233">
        <v>3.5</v>
      </c>
      <c r="F233">
        <v>6</v>
      </c>
      <c r="G233" t="s">
        <v>1164</v>
      </c>
      <c r="H233" t="s">
        <v>1180</v>
      </c>
      <c r="I233">
        <v>11.2</v>
      </c>
      <c r="J233">
        <v>25</v>
      </c>
    </row>
    <row r="234" spans="1:10" x14ac:dyDescent="0.25">
      <c r="A234" t="s">
        <v>242</v>
      </c>
      <c r="B234" t="s">
        <v>577</v>
      </c>
      <c r="C234" t="s">
        <v>830</v>
      </c>
      <c r="D234" t="s">
        <v>1151</v>
      </c>
      <c r="E234">
        <v>3.5</v>
      </c>
      <c r="F234">
        <v>6</v>
      </c>
      <c r="G234" t="s">
        <v>1164</v>
      </c>
      <c r="H234" t="s">
        <v>1180</v>
      </c>
      <c r="I234">
        <v>11.8</v>
      </c>
      <c r="J234">
        <v>24</v>
      </c>
    </row>
    <row r="235" spans="1:10" x14ac:dyDescent="0.25">
      <c r="A235" t="s">
        <v>243</v>
      </c>
      <c r="B235" t="s">
        <v>577</v>
      </c>
      <c r="C235" t="s">
        <v>831</v>
      </c>
      <c r="D235" t="s">
        <v>1159</v>
      </c>
      <c r="E235">
        <v>3.5</v>
      </c>
      <c r="F235">
        <v>6</v>
      </c>
      <c r="G235" t="s">
        <v>1170</v>
      </c>
      <c r="H235" t="s">
        <v>1180</v>
      </c>
      <c r="I235">
        <v>11.5</v>
      </c>
      <c r="J235">
        <v>25</v>
      </c>
    </row>
    <row r="236" spans="1:10" x14ac:dyDescent="0.25">
      <c r="A236" t="s">
        <v>244</v>
      </c>
      <c r="B236" t="s">
        <v>577</v>
      </c>
      <c r="C236" t="s">
        <v>832</v>
      </c>
      <c r="D236" t="s">
        <v>1159</v>
      </c>
      <c r="E236">
        <v>3.5</v>
      </c>
      <c r="F236">
        <v>6</v>
      </c>
      <c r="G236" t="s">
        <v>1170</v>
      </c>
      <c r="H236" t="s">
        <v>1180</v>
      </c>
      <c r="I236">
        <v>11.6</v>
      </c>
      <c r="J236">
        <v>24</v>
      </c>
    </row>
    <row r="237" spans="1:10" x14ac:dyDescent="0.25">
      <c r="A237" t="s">
        <v>245</v>
      </c>
      <c r="B237" t="s">
        <v>578</v>
      </c>
      <c r="C237" t="s">
        <v>833</v>
      </c>
      <c r="D237" t="s">
        <v>1153</v>
      </c>
      <c r="E237">
        <v>1.6</v>
      </c>
      <c r="F237">
        <v>4</v>
      </c>
      <c r="G237" t="s">
        <v>1167</v>
      </c>
      <c r="H237" t="s">
        <v>1180</v>
      </c>
      <c r="I237">
        <v>7.6</v>
      </c>
      <c r="J237">
        <v>37</v>
      </c>
    </row>
    <row r="238" spans="1:10" x14ac:dyDescent="0.25">
      <c r="A238" t="s">
        <v>246</v>
      </c>
      <c r="B238" t="s">
        <v>578</v>
      </c>
      <c r="C238" t="s">
        <v>834</v>
      </c>
      <c r="D238" t="s">
        <v>1153</v>
      </c>
      <c r="E238">
        <v>2</v>
      </c>
      <c r="F238">
        <v>4</v>
      </c>
      <c r="G238" t="s">
        <v>1174</v>
      </c>
      <c r="H238" t="s">
        <v>1180</v>
      </c>
      <c r="I238">
        <v>6.5</v>
      </c>
      <c r="J238">
        <v>43</v>
      </c>
    </row>
    <row r="239" spans="1:10" x14ac:dyDescent="0.25">
      <c r="A239" t="s">
        <v>247</v>
      </c>
      <c r="B239" t="s">
        <v>578</v>
      </c>
      <c r="C239" t="s">
        <v>835</v>
      </c>
      <c r="D239" t="s">
        <v>1153</v>
      </c>
      <c r="E239">
        <v>1.6</v>
      </c>
      <c r="F239">
        <v>4</v>
      </c>
      <c r="G239" t="s">
        <v>1175</v>
      </c>
      <c r="H239" t="s">
        <v>1180</v>
      </c>
      <c r="I239">
        <v>4.7</v>
      </c>
      <c r="J239">
        <v>60</v>
      </c>
    </row>
    <row r="240" spans="1:10" x14ac:dyDescent="0.25">
      <c r="A240" t="s">
        <v>248</v>
      </c>
      <c r="B240" t="s">
        <v>578</v>
      </c>
      <c r="C240" t="s">
        <v>836</v>
      </c>
      <c r="D240" t="s">
        <v>1153</v>
      </c>
      <c r="E240">
        <v>2</v>
      </c>
      <c r="F240">
        <v>4</v>
      </c>
      <c r="G240" t="s">
        <v>1173</v>
      </c>
      <c r="H240" t="s">
        <v>1032</v>
      </c>
      <c r="I240">
        <v>10.4</v>
      </c>
      <c r="J240">
        <v>27</v>
      </c>
    </row>
    <row r="241" spans="1:10" x14ac:dyDescent="0.25">
      <c r="A241" t="s">
        <v>249</v>
      </c>
      <c r="B241" t="s">
        <v>578</v>
      </c>
      <c r="C241" t="s">
        <v>837</v>
      </c>
      <c r="D241" t="s">
        <v>1150</v>
      </c>
      <c r="E241">
        <v>2</v>
      </c>
      <c r="F241">
        <v>4</v>
      </c>
      <c r="G241" t="s">
        <v>1174</v>
      </c>
      <c r="H241" t="s">
        <v>1180</v>
      </c>
      <c r="I241">
        <v>7.6</v>
      </c>
      <c r="J241">
        <v>37</v>
      </c>
    </row>
    <row r="242" spans="1:10" x14ac:dyDescent="0.25">
      <c r="A242" t="s">
        <v>250</v>
      </c>
      <c r="B242" t="s">
        <v>578</v>
      </c>
      <c r="C242" t="s">
        <v>838</v>
      </c>
      <c r="D242" t="s">
        <v>1150</v>
      </c>
      <c r="E242">
        <v>2</v>
      </c>
      <c r="F242">
        <v>4</v>
      </c>
      <c r="G242" t="s">
        <v>1174</v>
      </c>
      <c r="H242" t="s">
        <v>1180</v>
      </c>
      <c r="I242">
        <v>7.5</v>
      </c>
      <c r="J242">
        <v>38</v>
      </c>
    </row>
    <row r="243" spans="1:10" x14ac:dyDescent="0.25">
      <c r="A243" t="s">
        <v>251</v>
      </c>
      <c r="B243" t="s">
        <v>578</v>
      </c>
      <c r="C243" t="s">
        <v>839</v>
      </c>
      <c r="D243" t="s">
        <v>1150</v>
      </c>
      <c r="E243">
        <v>1.6</v>
      </c>
      <c r="F243">
        <v>4</v>
      </c>
      <c r="G243" t="s">
        <v>1168</v>
      </c>
      <c r="H243" t="s">
        <v>1180</v>
      </c>
      <c r="I243">
        <v>9</v>
      </c>
      <c r="J243">
        <v>31</v>
      </c>
    </row>
    <row r="244" spans="1:10" x14ac:dyDescent="0.25">
      <c r="A244" t="s">
        <v>252</v>
      </c>
      <c r="B244" t="s">
        <v>578</v>
      </c>
      <c r="C244" t="s">
        <v>840</v>
      </c>
      <c r="D244" t="s">
        <v>1150</v>
      </c>
      <c r="E244">
        <v>2</v>
      </c>
      <c r="F244">
        <v>4</v>
      </c>
      <c r="G244" t="s">
        <v>1174</v>
      </c>
      <c r="H244" t="s">
        <v>1180</v>
      </c>
      <c r="I244">
        <v>8.5</v>
      </c>
      <c r="J244">
        <v>33</v>
      </c>
    </row>
    <row r="245" spans="1:10" x14ac:dyDescent="0.25">
      <c r="A245" t="s">
        <v>253</v>
      </c>
      <c r="B245" t="s">
        <v>578</v>
      </c>
      <c r="C245" t="s">
        <v>841</v>
      </c>
      <c r="D245" t="s">
        <v>1150</v>
      </c>
      <c r="E245">
        <v>3.8</v>
      </c>
      <c r="F245">
        <v>6</v>
      </c>
      <c r="G245" t="s">
        <v>1168</v>
      </c>
      <c r="H245" t="s">
        <v>1180</v>
      </c>
      <c r="I245">
        <v>11.1</v>
      </c>
      <c r="J245">
        <v>25</v>
      </c>
    </row>
    <row r="246" spans="1:10" x14ac:dyDescent="0.25">
      <c r="A246" t="s">
        <v>254</v>
      </c>
      <c r="B246" t="s">
        <v>578</v>
      </c>
      <c r="C246" t="s">
        <v>842</v>
      </c>
      <c r="D246" t="s">
        <v>1150</v>
      </c>
      <c r="E246">
        <v>2.5</v>
      </c>
      <c r="F246">
        <v>4</v>
      </c>
      <c r="G246" t="s">
        <v>1173</v>
      </c>
      <c r="H246" t="s">
        <v>1180</v>
      </c>
      <c r="I246">
        <v>10.7</v>
      </c>
      <c r="J246">
        <v>26</v>
      </c>
    </row>
    <row r="247" spans="1:10" x14ac:dyDescent="0.25">
      <c r="A247" t="s">
        <v>255</v>
      </c>
      <c r="B247" t="s">
        <v>578</v>
      </c>
      <c r="C247" t="s">
        <v>843</v>
      </c>
      <c r="D247" t="s">
        <v>1150</v>
      </c>
      <c r="E247">
        <v>2.5</v>
      </c>
      <c r="F247">
        <v>4</v>
      </c>
      <c r="G247" t="s">
        <v>1173</v>
      </c>
      <c r="H247" t="s">
        <v>1180</v>
      </c>
      <c r="I247">
        <v>11.1</v>
      </c>
      <c r="J247">
        <v>25</v>
      </c>
    </row>
    <row r="248" spans="1:10" x14ac:dyDescent="0.25">
      <c r="A248" t="s">
        <v>256</v>
      </c>
      <c r="B248" t="s">
        <v>578</v>
      </c>
      <c r="C248" t="s">
        <v>844</v>
      </c>
      <c r="D248" t="s">
        <v>1150</v>
      </c>
      <c r="E248">
        <v>2.5</v>
      </c>
      <c r="F248">
        <v>4</v>
      </c>
      <c r="G248" t="s">
        <v>1173</v>
      </c>
      <c r="H248" t="s">
        <v>1180</v>
      </c>
      <c r="I248">
        <v>10.6</v>
      </c>
      <c r="J248">
        <v>27</v>
      </c>
    </row>
    <row r="249" spans="1:10" x14ac:dyDescent="0.25">
      <c r="A249" t="s">
        <v>257</v>
      </c>
      <c r="B249" t="s">
        <v>578</v>
      </c>
      <c r="C249" t="s">
        <v>845</v>
      </c>
      <c r="D249" t="s">
        <v>1150</v>
      </c>
      <c r="E249">
        <v>2.5</v>
      </c>
      <c r="F249">
        <v>4</v>
      </c>
      <c r="G249" t="s">
        <v>1173</v>
      </c>
      <c r="H249" t="s">
        <v>1180</v>
      </c>
      <c r="I249">
        <v>10.8</v>
      </c>
      <c r="J249">
        <v>26</v>
      </c>
    </row>
    <row r="250" spans="1:10" x14ac:dyDescent="0.25">
      <c r="A250" t="s">
        <v>258</v>
      </c>
      <c r="B250" t="s">
        <v>578</v>
      </c>
      <c r="C250" t="s">
        <v>846</v>
      </c>
      <c r="D250" t="s">
        <v>1150</v>
      </c>
      <c r="E250">
        <v>1.6</v>
      </c>
      <c r="F250">
        <v>4</v>
      </c>
      <c r="G250" t="s">
        <v>1175</v>
      </c>
      <c r="H250" t="s">
        <v>1180</v>
      </c>
      <c r="I250">
        <v>6.9</v>
      </c>
      <c r="J250">
        <v>41</v>
      </c>
    </row>
    <row r="251" spans="1:10" x14ac:dyDescent="0.25">
      <c r="A251" t="s">
        <v>259</v>
      </c>
      <c r="B251" t="s">
        <v>578</v>
      </c>
      <c r="C251" t="s">
        <v>847</v>
      </c>
      <c r="D251" t="s">
        <v>1149</v>
      </c>
      <c r="E251">
        <v>2.5</v>
      </c>
      <c r="F251">
        <v>4</v>
      </c>
      <c r="G251" t="s">
        <v>1173</v>
      </c>
      <c r="H251" t="s">
        <v>1180</v>
      </c>
      <c r="I251">
        <v>8.8000000000000007</v>
      </c>
      <c r="J251">
        <v>32</v>
      </c>
    </row>
    <row r="252" spans="1:10" x14ac:dyDescent="0.25">
      <c r="A252" t="s">
        <v>260</v>
      </c>
      <c r="B252" t="s">
        <v>578</v>
      </c>
      <c r="C252" t="s">
        <v>848</v>
      </c>
      <c r="D252" t="s">
        <v>1149</v>
      </c>
      <c r="E252">
        <v>2.5</v>
      </c>
      <c r="F252">
        <v>4</v>
      </c>
      <c r="G252" t="s">
        <v>1168</v>
      </c>
      <c r="H252" t="s">
        <v>1180</v>
      </c>
      <c r="I252">
        <v>8.6</v>
      </c>
      <c r="J252">
        <v>33</v>
      </c>
    </row>
    <row r="253" spans="1:10" x14ac:dyDescent="0.25">
      <c r="A253" t="s">
        <v>261</v>
      </c>
      <c r="B253" t="s">
        <v>578</v>
      </c>
      <c r="C253" t="s">
        <v>849</v>
      </c>
      <c r="D253" t="s">
        <v>1149</v>
      </c>
      <c r="E253">
        <v>2</v>
      </c>
      <c r="F253">
        <v>4</v>
      </c>
      <c r="G253" t="s">
        <v>1175</v>
      </c>
      <c r="H253" t="s">
        <v>1180</v>
      </c>
      <c r="I253">
        <v>5</v>
      </c>
      <c r="J253">
        <v>56</v>
      </c>
    </row>
    <row r="254" spans="1:10" x14ac:dyDescent="0.25">
      <c r="A254" t="s">
        <v>262</v>
      </c>
      <c r="B254" t="s">
        <v>578</v>
      </c>
      <c r="C254" t="s">
        <v>850</v>
      </c>
      <c r="D254" t="s">
        <v>1150</v>
      </c>
      <c r="E254">
        <v>2.5</v>
      </c>
      <c r="F254">
        <v>4</v>
      </c>
      <c r="G254" t="s">
        <v>1168</v>
      </c>
      <c r="H254" t="s">
        <v>1180</v>
      </c>
      <c r="I254">
        <v>8.8000000000000007</v>
      </c>
      <c r="J254">
        <v>32</v>
      </c>
    </row>
    <row r="255" spans="1:10" x14ac:dyDescent="0.25">
      <c r="A255" t="s">
        <v>263</v>
      </c>
      <c r="B255" t="s">
        <v>578</v>
      </c>
      <c r="C255" t="s">
        <v>851</v>
      </c>
      <c r="D255" t="s">
        <v>1150</v>
      </c>
      <c r="E255">
        <v>1.6</v>
      </c>
      <c r="F255">
        <v>4</v>
      </c>
      <c r="G255" t="s">
        <v>1175</v>
      </c>
      <c r="H255" t="s">
        <v>1180</v>
      </c>
      <c r="I255">
        <v>6.7</v>
      </c>
      <c r="J255">
        <v>42</v>
      </c>
    </row>
    <row r="256" spans="1:10" x14ac:dyDescent="0.25">
      <c r="A256" t="s">
        <v>264</v>
      </c>
      <c r="B256" t="s">
        <v>578</v>
      </c>
      <c r="C256" t="s">
        <v>852</v>
      </c>
      <c r="D256" t="s">
        <v>1150</v>
      </c>
      <c r="E256">
        <v>1.6</v>
      </c>
      <c r="F256">
        <v>4</v>
      </c>
      <c r="G256" t="s">
        <v>1174</v>
      </c>
      <c r="H256" t="s">
        <v>1180</v>
      </c>
      <c r="I256">
        <v>7.5</v>
      </c>
      <c r="J256">
        <v>38</v>
      </c>
    </row>
    <row r="257" spans="1:10" x14ac:dyDescent="0.25">
      <c r="A257" t="s">
        <v>265</v>
      </c>
      <c r="B257" t="s">
        <v>579</v>
      </c>
      <c r="C257" t="s">
        <v>853</v>
      </c>
      <c r="D257" t="s">
        <v>1150</v>
      </c>
      <c r="E257">
        <v>2</v>
      </c>
      <c r="F257">
        <v>4</v>
      </c>
      <c r="G257" t="s">
        <v>1176</v>
      </c>
      <c r="H257" t="s">
        <v>1032</v>
      </c>
      <c r="I257">
        <v>9.6999999999999993</v>
      </c>
      <c r="J257">
        <v>29</v>
      </c>
    </row>
    <row r="258" spans="1:10" x14ac:dyDescent="0.25">
      <c r="A258" t="s">
        <v>266</v>
      </c>
      <c r="B258" t="s">
        <v>579</v>
      </c>
      <c r="C258" t="s">
        <v>854</v>
      </c>
      <c r="D258" t="s">
        <v>1150</v>
      </c>
      <c r="E258">
        <v>2</v>
      </c>
      <c r="F258">
        <v>4</v>
      </c>
      <c r="G258" t="s">
        <v>1176</v>
      </c>
      <c r="H258" t="s">
        <v>1032</v>
      </c>
      <c r="I258">
        <v>9.4</v>
      </c>
      <c r="J258">
        <v>30</v>
      </c>
    </row>
    <row r="259" spans="1:10" x14ac:dyDescent="0.25">
      <c r="A259" t="s">
        <v>267</v>
      </c>
      <c r="B259" t="s">
        <v>579</v>
      </c>
      <c r="C259" t="s">
        <v>855</v>
      </c>
      <c r="D259" t="s">
        <v>1151</v>
      </c>
      <c r="E259">
        <v>2</v>
      </c>
      <c r="F259">
        <v>4</v>
      </c>
      <c r="G259" t="s">
        <v>1170</v>
      </c>
      <c r="H259" t="s">
        <v>1032</v>
      </c>
      <c r="I259">
        <v>10</v>
      </c>
      <c r="J259">
        <v>28</v>
      </c>
    </row>
    <row r="260" spans="1:10" x14ac:dyDescent="0.25">
      <c r="A260" t="s">
        <v>268</v>
      </c>
      <c r="B260" t="s">
        <v>579</v>
      </c>
      <c r="C260" t="s">
        <v>856</v>
      </c>
      <c r="D260" t="s">
        <v>1151</v>
      </c>
      <c r="E260">
        <v>3.5</v>
      </c>
      <c r="F260">
        <v>6</v>
      </c>
      <c r="G260" t="s">
        <v>1170</v>
      </c>
      <c r="H260" t="s">
        <v>1032</v>
      </c>
      <c r="I260">
        <v>13.8</v>
      </c>
      <c r="J260">
        <v>20</v>
      </c>
    </row>
    <row r="261" spans="1:10" x14ac:dyDescent="0.25">
      <c r="A261" t="s">
        <v>269</v>
      </c>
      <c r="B261" t="s">
        <v>580</v>
      </c>
      <c r="C261" t="s">
        <v>857</v>
      </c>
      <c r="D261" t="s">
        <v>1150</v>
      </c>
      <c r="E261">
        <v>2</v>
      </c>
      <c r="F261">
        <v>4</v>
      </c>
      <c r="G261" t="s">
        <v>1168</v>
      </c>
      <c r="H261" t="s">
        <v>1032</v>
      </c>
      <c r="I261">
        <v>9.9</v>
      </c>
      <c r="J261">
        <v>29</v>
      </c>
    </row>
    <row r="262" spans="1:10" x14ac:dyDescent="0.25">
      <c r="A262" t="s">
        <v>270</v>
      </c>
      <c r="B262" t="s">
        <v>580</v>
      </c>
      <c r="C262" t="s">
        <v>858</v>
      </c>
      <c r="D262" t="s">
        <v>1150</v>
      </c>
      <c r="E262">
        <v>3</v>
      </c>
      <c r="F262">
        <v>6</v>
      </c>
      <c r="G262" t="s">
        <v>1168</v>
      </c>
      <c r="H262" t="s">
        <v>1032</v>
      </c>
      <c r="I262">
        <v>11.1</v>
      </c>
      <c r="J262">
        <v>25</v>
      </c>
    </row>
    <row r="263" spans="1:10" x14ac:dyDescent="0.25">
      <c r="A263" t="s">
        <v>271</v>
      </c>
      <c r="B263" t="s">
        <v>580</v>
      </c>
      <c r="C263" t="s">
        <v>859</v>
      </c>
      <c r="D263" t="s">
        <v>1150</v>
      </c>
      <c r="E263">
        <v>5</v>
      </c>
      <c r="F263">
        <v>8</v>
      </c>
      <c r="G263" t="s">
        <v>1168</v>
      </c>
      <c r="H263" t="s">
        <v>1032</v>
      </c>
      <c r="I263">
        <v>13.8</v>
      </c>
      <c r="J263">
        <v>20</v>
      </c>
    </row>
    <row r="264" spans="1:10" x14ac:dyDescent="0.25">
      <c r="A264" t="s">
        <v>272</v>
      </c>
      <c r="B264" t="s">
        <v>581</v>
      </c>
      <c r="C264" t="s">
        <v>860</v>
      </c>
      <c r="D264" t="s">
        <v>1150</v>
      </c>
      <c r="E264">
        <v>2</v>
      </c>
      <c r="F264">
        <v>4</v>
      </c>
      <c r="G264" t="s">
        <v>1165</v>
      </c>
      <c r="H264" t="s">
        <v>1180</v>
      </c>
      <c r="I264">
        <v>8.8000000000000007</v>
      </c>
      <c r="J264">
        <v>32</v>
      </c>
    </row>
    <row r="265" spans="1:10" x14ac:dyDescent="0.25">
      <c r="A265" t="s">
        <v>273</v>
      </c>
      <c r="B265" t="s">
        <v>581</v>
      </c>
      <c r="C265" t="s">
        <v>861</v>
      </c>
      <c r="D265" t="s">
        <v>1159</v>
      </c>
      <c r="E265">
        <v>3.6</v>
      </c>
      <c r="F265">
        <v>6</v>
      </c>
      <c r="G265" t="s">
        <v>1165</v>
      </c>
      <c r="H265" t="s">
        <v>1180</v>
      </c>
      <c r="I265">
        <v>12.3</v>
      </c>
      <c r="J265">
        <v>23</v>
      </c>
    </row>
    <row r="266" spans="1:10" x14ac:dyDescent="0.25">
      <c r="A266" t="s">
        <v>274</v>
      </c>
      <c r="B266" t="s">
        <v>581</v>
      </c>
      <c r="C266" t="s">
        <v>862</v>
      </c>
      <c r="D266" t="s">
        <v>1151</v>
      </c>
      <c r="E266">
        <v>3.6</v>
      </c>
      <c r="F266">
        <v>6</v>
      </c>
      <c r="G266" t="s">
        <v>1165</v>
      </c>
      <c r="H266" t="s">
        <v>1180</v>
      </c>
      <c r="I266">
        <v>10.9</v>
      </c>
      <c r="J266">
        <v>26</v>
      </c>
    </row>
    <row r="267" spans="1:10" x14ac:dyDescent="0.25">
      <c r="A267" t="s">
        <v>275</v>
      </c>
      <c r="B267" t="s">
        <v>581</v>
      </c>
      <c r="C267" t="s">
        <v>863</v>
      </c>
      <c r="D267" t="s">
        <v>1151</v>
      </c>
      <c r="E267">
        <v>3.6</v>
      </c>
      <c r="F267">
        <v>6</v>
      </c>
      <c r="G267" t="s">
        <v>1165</v>
      </c>
      <c r="H267" t="s">
        <v>1180</v>
      </c>
      <c r="I267">
        <v>11.3</v>
      </c>
      <c r="J267">
        <v>25</v>
      </c>
    </row>
    <row r="268" spans="1:10" x14ac:dyDescent="0.25">
      <c r="A268" t="s">
        <v>276</v>
      </c>
      <c r="B268" t="s">
        <v>581</v>
      </c>
      <c r="C268" t="s">
        <v>864</v>
      </c>
      <c r="D268" t="s">
        <v>1151</v>
      </c>
      <c r="E268">
        <v>3</v>
      </c>
      <c r="F268">
        <v>6</v>
      </c>
      <c r="G268" t="s">
        <v>1165</v>
      </c>
      <c r="H268" t="s">
        <v>1032</v>
      </c>
      <c r="I268">
        <v>14.3</v>
      </c>
      <c r="J268">
        <v>20</v>
      </c>
    </row>
    <row r="269" spans="1:10" x14ac:dyDescent="0.25">
      <c r="A269" t="s">
        <v>277</v>
      </c>
      <c r="B269" t="s">
        <v>581</v>
      </c>
      <c r="C269" t="s">
        <v>865</v>
      </c>
      <c r="D269" t="s">
        <v>1151</v>
      </c>
      <c r="E269">
        <v>3</v>
      </c>
      <c r="F269">
        <v>6</v>
      </c>
      <c r="G269" t="s">
        <v>1165</v>
      </c>
      <c r="H269" t="s">
        <v>1032</v>
      </c>
      <c r="I269">
        <v>14.3</v>
      </c>
      <c r="J269">
        <v>20</v>
      </c>
    </row>
    <row r="270" spans="1:10" x14ac:dyDescent="0.25">
      <c r="A270" t="s">
        <v>278</v>
      </c>
      <c r="B270" t="s">
        <v>581</v>
      </c>
      <c r="C270" t="s">
        <v>866</v>
      </c>
      <c r="D270" t="s">
        <v>1151</v>
      </c>
      <c r="E270">
        <v>3</v>
      </c>
      <c r="F270">
        <v>6</v>
      </c>
      <c r="G270" t="s">
        <v>1165</v>
      </c>
      <c r="H270" t="s">
        <v>1180</v>
      </c>
      <c r="I270">
        <v>12.5</v>
      </c>
      <c r="J270">
        <v>23</v>
      </c>
    </row>
    <row r="271" spans="1:10" x14ac:dyDescent="0.25">
      <c r="A271" t="s">
        <v>279</v>
      </c>
      <c r="B271" t="s">
        <v>581</v>
      </c>
      <c r="C271" t="s">
        <v>867</v>
      </c>
      <c r="D271" t="s">
        <v>1151</v>
      </c>
      <c r="E271">
        <v>3</v>
      </c>
      <c r="F271">
        <v>6</v>
      </c>
      <c r="G271" t="s">
        <v>1165</v>
      </c>
      <c r="H271" t="s">
        <v>1180</v>
      </c>
      <c r="I271">
        <v>12.7</v>
      </c>
      <c r="J271">
        <v>22</v>
      </c>
    </row>
    <row r="272" spans="1:10" x14ac:dyDescent="0.25">
      <c r="A272" t="s">
        <v>280</v>
      </c>
      <c r="B272" t="s">
        <v>581</v>
      </c>
      <c r="C272" t="s">
        <v>868</v>
      </c>
      <c r="D272" t="s">
        <v>1150</v>
      </c>
      <c r="E272">
        <v>2</v>
      </c>
      <c r="F272">
        <v>4</v>
      </c>
      <c r="G272" t="s">
        <v>1165</v>
      </c>
      <c r="H272" t="s">
        <v>1180</v>
      </c>
      <c r="I272">
        <v>11</v>
      </c>
      <c r="J272">
        <v>26</v>
      </c>
    </row>
    <row r="273" spans="1:10" x14ac:dyDescent="0.25">
      <c r="A273" t="s">
        <v>281</v>
      </c>
      <c r="B273" t="s">
        <v>581</v>
      </c>
      <c r="C273" t="s">
        <v>869</v>
      </c>
      <c r="D273" t="s">
        <v>1150</v>
      </c>
      <c r="E273">
        <v>2</v>
      </c>
      <c r="F273">
        <v>4</v>
      </c>
      <c r="G273" t="s">
        <v>1165</v>
      </c>
      <c r="H273" t="s">
        <v>1180</v>
      </c>
      <c r="I273">
        <v>11.3</v>
      </c>
      <c r="J273">
        <v>25</v>
      </c>
    </row>
    <row r="274" spans="1:10" x14ac:dyDescent="0.25">
      <c r="A274" t="s">
        <v>282</v>
      </c>
      <c r="B274" t="s">
        <v>582</v>
      </c>
      <c r="C274" t="s">
        <v>870</v>
      </c>
      <c r="D274" t="s">
        <v>1160</v>
      </c>
      <c r="E274">
        <v>3.5</v>
      </c>
      <c r="F274">
        <v>6</v>
      </c>
      <c r="G274" t="s">
        <v>1168</v>
      </c>
      <c r="H274" t="s">
        <v>1180</v>
      </c>
      <c r="I274">
        <v>11.1</v>
      </c>
      <c r="J274">
        <v>25</v>
      </c>
    </row>
    <row r="275" spans="1:10" x14ac:dyDescent="0.25">
      <c r="A275" t="s">
        <v>283</v>
      </c>
      <c r="B275" t="s">
        <v>582</v>
      </c>
      <c r="C275" t="s">
        <v>871</v>
      </c>
      <c r="D275" t="s">
        <v>1160</v>
      </c>
      <c r="E275">
        <v>1.6</v>
      </c>
      <c r="F275">
        <v>4</v>
      </c>
      <c r="G275" t="s">
        <v>1175</v>
      </c>
      <c r="H275" t="s">
        <v>1180</v>
      </c>
      <c r="I275">
        <v>7.2</v>
      </c>
      <c r="J275">
        <v>39</v>
      </c>
    </row>
    <row r="276" spans="1:10" x14ac:dyDescent="0.25">
      <c r="A276" t="s">
        <v>284</v>
      </c>
      <c r="B276" t="s">
        <v>582</v>
      </c>
      <c r="C276" t="s">
        <v>872</v>
      </c>
      <c r="D276" t="s">
        <v>1153</v>
      </c>
      <c r="E276">
        <v>1.6</v>
      </c>
      <c r="F276">
        <v>4</v>
      </c>
      <c r="G276" t="s">
        <v>1168</v>
      </c>
      <c r="H276" t="s">
        <v>1180</v>
      </c>
      <c r="I276">
        <v>8</v>
      </c>
      <c r="J276">
        <v>35</v>
      </c>
    </row>
    <row r="277" spans="1:10" x14ac:dyDescent="0.25">
      <c r="A277" t="s">
        <v>285</v>
      </c>
      <c r="B277" t="s">
        <v>582</v>
      </c>
      <c r="C277" t="s">
        <v>873</v>
      </c>
      <c r="D277" t="s">
        <v>1153</v>
      </c>
      <c r="E277">
        <v>2</v>
      </c>
      <c r="F277">
        <v>4</v>
      </c>
      <c r="G277" t="s">
        <v>1174</v>
      </c>
      <c r="H277" t="s">
        <v>1180</v>
      </c>
      <c r="I277">
        <v>7</v>
      </c>
      <c r="J277">
        <v>40</v>
      </c>
    </row>
    <row r="278" spans="1:10" x14ac:dyDescent="0.25">
      <c r="A278" t="s">
        <v>286</v>
      </c>
      <c r="B278" t="s">
        <v>582</v>
      </c>
      <c r="C278" t="s">
        <v>874</v>
      </c>
      <c r="D278" t="s">
        <v>1150</v>
      </c>
      <c r="E278">
        <v>1.6</v>
      </c>
      <c r="F278">
        <v>4</v>
      </c>
      <c r="G278" t="s">
        <v>1175</v>
      </c>
      <c r="H278" t="s">
        <v>1180</v>
      </c>
      <c r="I278">
        <v>4.8</v>
      </c>
      <c r="J278">
        <v>59</v>
      </c>
    </row>
    <row r="279" spans="1:10" x14ac:dyDescent="0.25">
      <c r="A279" t="s">
        <v>287</v>
      </c>
      <c r="B279" t="s">
        <v>582</v>
      </c>
      <c r="C279" t="s">
        <v>875</v>
      </c>
      <c r="D279" t="s">
        <v>1150</v>
      </c>
      <c r="E279">
        <v>1.6</v>
      </c>
      <c r="F279">
        <v>4</v>
      </c>
      <c r="G279" t="s">
        <v>1175</v>
      </c>
      <c r="H279" t="s">
        <v>1180</v>
      </c>
      <c r="I279">
        <v>4.4000000000000004</v>
      </c>
      <c r="J279">
        <v>64</v>
      </c>
    </row>
    <row r="280" spans="1:10" x14ac:dyDescent="0.25">
      <c r="A280" t="s">
        <v>288</v>
      </c>
      <c r="B280" t="s">
        <v>582</v>
      </c>
      <c r="C280" t="s">
        <v>876</v>
      </c>
      <c r="D280" t="s">
        <v>1150</v>
      </c>
      <c r="E280">
        <v>2</v>
      </c>
      <c r="F280">
        <v>4</v>
      </c>
      <c r="G280" t="s">
        <v>1176</v>
      </c>
      <c r="H280" t="s">
        <v>1180</v>
      </c>
      <c r="I280">
        <v>7.6</v>
      </c>
      <c r="J280">
        <v>37</v>
      </c>
    </row>
    <row r="281" spans="1:10" x14ac:dyDescent="0.25">
      <c r="A281" t="s">
        <v>289</v>
      </c>
      <c r="B281" t="s">
        <v>582</v>
      </c>
      <c r="C281" t="s">
        <v>877</v>
      </c>
      <c r="D281" t="s">
        <v>1150</v>
      </c>
      <c r="E281">
        <v>1.6</v>
      </c>
      <c r="F281">
        <v>4</v>
      </c>
      <c r="G281" t="s">
        <v>1168</v>
      </c>
      <c r="H281" t="s">
        <v>1180</v>
      </c>
      <c r="I281">
        <v>9.1999999999999993</v>
      </c>
      <c r="J281">
        <v>31</v>
      </c>
    </row>
    <row r="282" spans="1:10" x14ac:dyDescent="0.25">
      <c r="A282" t="s">
        <v>290</v>
      </c>
      <c r="B282" t="s">
        <v>582</v>
      </c>
      <c r="C282" t="s">
        <v>878</v>
      </c>
      <c r="D282" t="s">
        <v>1150</v>
      </c>
      <c r="E282">
        <v>2.5</v>
      </c>
      <c r="F282">
        <v>4</v>
      </c>
      <c r="G282" t="s">
        <v>1173</v>
      </c>
      <c r="H282" t="s">
        <v>1180</v>
      </c>
      <c r="I282">
        <v>10.3</v>
      </c>
      <c r="J282">
        <v>27</v>
      </c>
    </row>
    <row r="283" spans="1:10" x14ac:dyDescent="0.25">
      <c r="A283" t="s">
        <v>291</v>
      </c>
      <c r="B283" t="s">
        <v>582</v>
      </c>
      <c r="C283" t="s">
        <v>879</v>
      </c>
      <c r="D283" t="s">
        <v>1150</v>
      </c>
      <c r="E283">
        <v>1.6</v>
      </c>
      <c r="F283">
        <v>4</v>
      </c>
      <c r="G283" t="s">
        <v>1177</v>
      </c>
      <c r="H283" t="s">
        <v>1180</v>
      </c>
      <c r="I283">
        <v>7</v>
      </c>
      <c r="J283">
        <v>40</v>
      </c>
    </row>
    <row r="284" spans="1:10" x14ac:dyDescent="0.25">
      <c r="A284" t="s">
        <v>292</v>
      </c>
      <c r="B284" t="s">
        <v>582</v>
      </c>
      <c r="C284" t="s">
        <v>880</v>
      </c>
      <c r="D284" t="s">
        <v>1157</v>
      </c>
      <c r="E284">
        <v>2</v>
      </c>
      <c r="F284">
        <v>4</v>
      </c>
      <c r="G284" t="s">
        <v>1169</v>
      </c>
      <c r="H284" t="s">
        <v>1180</v>
      </c>
      <c r="I284">
        <v>7.9</v>
      </c>
      <c r="J284">
        <v>36</v>
      </c>
    </row>
    <row r="285" spans="1:10" x14ac:dyDescent="0.25">
      <c r="A285" t="s">
        <v>293</v>
      </c>
      <c r="B285" t="s">
        <v>582</v>
      </c>
      <c r="C285" t="s">
        <v>881</v>
      </c>
      <c r="D285" t="s">
        <v>1150</v>
      </c>
      <c r="E285">
        <v>2.5</v>
      </c>
      <c r="F285">
        <v>4</v>
      </c>
      <c r="G285" t="s">
        <v>1168</v>
      </c>
      <c r="H285" t="s">
        <v>1180</v>
      </c>
      <c r="I285">
        <v>8.3000000000000007</v>
      </c>
      <c r="J285">
        <v>34</v>
      </c>
    </row>
    <row r="286" spans="1:10" x14ac:dyDescent="0.25">
      <c r="A286" t="s">
        <v>294</v>
      </c>
      <c r="B286" t="s">
        <v>582</v>
      </c>
      <c r="C286" t="s">
        <v>882</v>
      </c>
      <c r="D286" t="s">
        <v>1150</v>
      </c>
      <c r="E286">
        <v>2.5</v>
      </c>
      <c r="F286">
        <v>4</v>
      </c>
      <c r="G286" t="s">
        <v>1168</v>
      </c>
      <c r="H286" t="s">
        <v>1180</v>
      </c>
      <c r="I286">
        <v>9.4</v>
      </c>
      <c r="J286">
        <v>30</v>
      </c>
    </row>
    <row r="287" spans="1:10" x14ac:dyDescent="0.25">
      <c r="A287" t="s">
        <v>295</v>
      </c>
      <c r="B287" t="s">
        <v>582</v>
      </c>
      <c r="C287" t="s">
        <v>883</v>
      </c>
      <c r="D287" t="s">
        <v>1150</v>
      </c>
      <c r="E287">
        <v>1.6</v>
      </c>
      <c r="F287">
        <v>4</v>
      </c>
      <c r="G287" t="s">
        <v>1175</v>
      </c>
      <c r="H287" t="s">
        <v>1180</v>
      </c>
      <c r="I287">
        <v>6.2</v>
      </c>
      <c r="J287">
        <v>46</v>
      </c>
    </row>
    <row r="288" spans="1:10" x14ac:dyDescent="0.25">
      <c r="A288" t="s">
        <v>296</v>
      </c>
      <c r="B288" t="s">
        <v>582</v>
      </c>
      <c r="C288" t="s">
        <v>884</v>
      </c>
      <c r="D288" t="s">
        <v>1150</v>
      </c>
      <c r="E288">
        <v>3.8</v>
      </c>
      <c r="F288">
        <v>6</v>
      </c>
      <c r="G288" t="s">
        <v>1168</v>
      </c>
      <c r="H288" t="s">
        <v>1180</v>
      </c>
      <c r="I288">
        <v>11.7</v>
      </c>
      <c r="J288">
        <v>24</v>
      </c>
    </row>
    <row r="289" spans="1:10" x14ac:dyDescent="0.25">
      <c r="A289" t="s">
        <v>297</v>
      </c>
      <c r="B289" t="s">
        <v>583</v>
      </c>
      <c r="C289" t="s">
        <v>885</v>
      </c>
      <c r="D289" t="s">
        <v>1151</v>
      </c>
      <c r="E289">
        <v>2</v>
      </c>
      <c r="F289">
        <v>4</v>
      </c>
      <c r="G289" t="s">
        <v>1168</v>
      </c>
      <c r="H289" t="s">
        <v>1032</v>
      </c>
      <c r="I289">
        <v>12.3</v>
      </c>
      <c r="J289">
        <v>23</v>
      </c>
    </row>
    <row r="290" spans="1:10" x14ac:dyDescent="0.25">
      <c r="A290" t="s">
        <v>298</v>
      </c>
      <c r="B290" t="s">
        <v>583</v>
      </c>
      <c r="C290" t="s">
        <v>886</v>
      </c>
      <c r="D290" t="s">
        <v>1151</v>
      </c>
      <c r="E290">
        <v>2</v>
      </c>
      <c r="F290">
        <v>4</v>
      </c>
      <c r="G290" t="s">
        <v>1168</v>
      </c>
      <c r="H290" t="s">
        <v>1032</v>
      </c>
      <c r="I290">
        <v>12.6</v>
      </c>
      <c r="J290">
        <v>22</v>
      </c>
    </row>
    <row r="291" spans="1:10" x14ac:dyDescent="0.25">
      <c r="A291" t="s">
        <v>299</v>
      </c>
      <c r="B291" t="s">
        <v>583</v>
      </c>
      <c r="C291" t="s">
        <v>887</v>
      </c>
      <c r="D291" t="s">
        <v>1151</v>
      </c>
      <c r="E291">
        <v>2</v>
      </c>
      <c r="F291">
        <v>4</v>
      </c>
      <c r="G291" t="s">
        <v>1168</v>
      </c>
      <c r="H291" t="s">
        <v>1032</v>
      </c>
      <c r="I291">
        <v>11.1</v>
      </c>
      <c r="J291">
        <v>25</v>
      </c>
    </row>
    <row r="292" spans="1:10" x14ac:dyDescent="0.25">
      <c r="A292" t="s">
        <v>300</v>
      </c>
      <c r="B292" t="s">
        <v>583</v>
      </c>
      <c r="C292" t="s">
        <v>888</v>
      </c>
      <c r="D292" t="s">
        <v>1151</v>
      </c>
      <c r="E292">
        <v>3</v>
      </c>
      <c r="F292">
        <v>6</v>
      </c>
      <c r="G292" t="s">
        <v>1168</v>
      </c>
      <c r="H292" t="s">
        <v>1032</v>
      </c>
      <c r="I292">
        <v>12.1</v>
      </c>
      <c r="J292">
        <v>23</v>
      </c>
    </row>
    <row r="293" spans="1:10" x14ac:dyDescent="0.25">
      <c r="A293" t="s">
        <v>301</v>
      </c>
      <c r="B293" t="s">
        <v>583</v>
      </c>
      <c r="C293" t="s">
        <v>889</v>
      </c>
      <c r="D293" t="s">
        <v>1150</v>
      </c>
      <c r="E293">
        <v>2</v>
      </c>
      <c r="F293">
        <v>4</v>
      </c>
      <c r="G293" t="s">
        <v>1170</v>
      </c>
      <c r="H293" t="s">
        <v>1032</v>
      </c>
      <c r="I293">
        <v>11.5</v>
      </c>
      <c r="J293">
        <v>25</v>
      </c>
    </row>
    <row r="294" spans="1:10" x14ac:dyDescent="0.25">
      <c r="A294" t="s">
        <v>302</v>
      </c>
      <c r="B294" t="s">
        <v>583</v>
      </c>
      <c r="C294" t="s">
        <v>890</v>
      </c>
      <c r="D294" t="s">
        <v>1151</v>
      </c>
      <c r="E294">
        <v>4.4000000000000004</v>
      </c>
      <c r="F294">
        <v>8</v>
      </c>
      <c r="G294" t="s">
        <v>1168</v>
      </c>
      <c r="H294" t="s">
        <v>1032</v>
      </c>
      <c r="I294">
        <v>12.6</v>
      </c>
      <c r="J294">
        <v>22</v>
      </c>
    </row>
    <row r="295" spans="1:10" x14ac:dyDescent="0.25">
      <c r="A295" t="s">
        <v>303</v>
      </c>
      <c r="B295" t="s">
        <v>583</v>
      </c>
      <c r="C295" t="s">
        <v>891</v>
      </c>
      <c r="D295" t="s">
        <v>1151</v>
      </c>
      <c r="E295">
        <v>4.4000000000000004</v>
      </c>
      <c r="F295">
        <v>8</v>
      </c>
      <c r="G295" t="s">
        <v>1168</v>
      </c>
      <c r="H295" t="s">
        <v>1032</v>
      </c>
      <c r="I295">
        <v>13.2</v>
      </c>
      <c r="J295">
        <v>21</v>
      </c>
    </row>
    <row r="296" spans="1:10" x14ac:dyDescent="0.25">
      <c r="A296" t="s">
        <v>304</v>
      </c>
      <c r="B296" t="s">
        <v>583</v>
      </c>
      <c r="C296" t="s">
        <v>892</v>
      </c>
      <c r="D296" t="s">
        <v>1151</v>
      </c>
      <c r="E296">
        <v>4.4000000000000004</v>
      </c>
      <c r="F296">
        <v>8</v>
      </c>
      <c r="G296" t="s">
        <v>1168</v>
      </c>
      <c r="H296" t="s">
        <v>1032</v>
      </c>
      <c r="I296">
        <v>13.2</v>
      </c>
      <c r="J296">
        <v>21</v>
      </c>
    </row>
    <row r="297" spans="1:10" x14ac:dyDescent="0.25">
      <c r="A297" t="s">
        <v>305</v>
      </c>
      <c r="B297" t="s">
        <v>583</v>
      </c>
      <c r="C297" t="s">
        <v>893</v>
      </c>
      <c r="D297" t="s">
        <v>1151</v>
      </c>
      <c r="E297">
        <v>4.4000000000000004</v>
      </c>
      <c r="F297">
        <v>8</v>
      </c>
      <c r="G297" t="s">
        <v>1168</v>
      </c>
      <c r="H297" t="s">
        <v>1032</v>
      </c>
      <c r="I297">
        <v>13.2</v>
      </c>
      <c r="J297">
        <v>21</v>
      </c>
    </row>
    <row r="298" spans="1:10" x14ac:dyDescent="0.25">
      <c r="A298" t="s">
        <v>306</v>
      </c>
      <c r="B298" t="s">
        <v>583</v>
      </c>
      <c r="C298" t="s">
        <v>894</v>
      </c>
      <c r="D298" t="s">
        <v>1151</v>
      </c>
      <c r="E298">
        <v>4.4000000000000004</v>
      </c>
      <c r="F298">
        <v>8</v>
      </c>
      <c r="G298" t="s">
        <v>1168</v>
      </c>
      <c r="H298" t="s">
        <v>1032</v>
      </c>
      <c r="I298">
        <v>12.6</v>
      </c>
      <c r="J298">
        <v>22</v>
      </c>
    </row>
    <row r="299" spans="1:10" x14ac:dyDescent="0.25">
      <c r="A299" t="s">
        <v>307</v>
      </c>
      <c r="B299" t="s">
        <v>583</v>
      </c>
      <c r="C299" t="s">
        <v>895</v>
      </c>
      <c r="D299" t="s">
        <v>1151</v>
      </c>
      <c r="E299">
        <v>4.4000000000000004</v>
      </c>
      <c r="F299">
        <v>8</v>
      </c>
      <c r="G299" t="s">
        <v>1168</v>
      </c>
      <c r="H299" t="s">
        <v>1032</v>
      </c>
      <c r="I299">
        <v>13.1</v>
      </c>
      <c r="J299">
        <v>22</v>
      </c>
    </row>
    <row r="300" spans="1:10" x14ac:dyDescent="0.25">
      <c r="A300" t="s">
        <v>308</v>
      </c>
      <c r="B300" t="s">
        <v>583</v>
      </c>
      <c r="C300" t="s">
        <v>896</v>
      </c>
      <c r="D300" t="s">
        <v>1150</v>
      </c>
      <c r="E300">
        <v>2</v>
      </c>
      <c r="F300">
        <v>4</v>
      </c>
      <c r="G300" t="s">
        <v>1170</v>
      </c>
      <c r="H300" t="s">
        <v>1032</v>
      </c>
      <c r="I300">
        <v>10.5</v>
      </c>
      <c r="J300">
        <v>27</v>
      </c>
    </row>
    <row r="301" spans="1:10" x14ac:dyDescent="0.25">
      <c r="A301" t="s">
        <v>309</v>
      </c>
      <c r="B301" t="s">
        <v>583</v>
      </c>
      <c r="C301" t="s">
        <v>897</v>
      </c>
      <c r="D301" t="s">
        <v>1150</v>
      </c>
      <c r="E301">
        <v>2</v>
      </c>
      <c r="F301">
        <v>4</v>
      </c>
      <c r="G301" t="s">
        <v>1168</v>
      </c>
      <c r="H301" t="s">
        <v>1032</v>
      </c>
      <c r="I301">
        <v>10</v>
      </c>
      <c r="J301">
        <v>28</v>
      </c>
    </row>
    <row r="302" spans="1:10" x14ac:dyDescent="0.25">
      <c r="A302" t="s">
        <v>310</v>
      </c>
      <c r="B302" t="s">
        <v>583</v>
      </c>
      <c r="C302" t="s">
        <v>898</v>
      </c>
      <c r="D302" t="s">
        <v>1150</v>
      </c>
      <c r="E302">
        <v>3</v>
      </c>
      <c r="F302">
        <v>6</v>
      </c>
      <c r="G302" t="s">
        <v>1168</v>
      </c>
      <c r="H302" t="s">
        <v>1032</v>
      </c>
      <c r="I302">
        <v>10.7</v>
      </c>
      <c r="J302">
        <v>26</v>
      </c>
    </row>
    <row r="303" spans="1:10" x14ac:dyDescent="0.25">
      <c r="A303" t="s">
        <v>311</v>
      </c>
      <c r="B303" t="s">
        <v>583</v>
      </c>
      <c r="C303" t="s">
        <v>899</v>
      </c>
      <c r="D303" t="s">
        <v>1150</v>
      </c>
      <c r="E303">
        <v>3</v>
      </c>
      <c r="F303">
        <v>6</v>
      </c>
      <c r="G303" t="s">
        <v>1168</v>
      </c>
      <c r="H303" t="s">
        <v>1032</v>
      </c>
      <c r="I303">
        <v>11.1</v>
      </c>
      <c r="J303">
        <v>25</v>
      </c>
    </row>
    <row r="304" spans="1:10" x14ac:dyDescent="0.25">
      <c r="A304" t="s">
        <v>312</v>
      </c>
      <c r="B304" t="s">
        <v>584</v>
      </c>
      <c r="C304" t="s">
        <v>900</v>
      </c>
      <c r="D304" t="s">
        <v>1153</v>
      </c>
      <c r="E304">
        <v>2.5</v>
      </c>
      <c r="F304">
        <v>4</v>
      </c>
      <c r="G304" t="s">
        <v>1168</v>
      </c>
      <c r="H304" t="s">
        <v>1180</v>
      </c>
      <c r="I304">
        <v>8.4</v>
      </c>
      <c r="J304">
        <v>34</v>
      </c>
    </row>
    <row r="305" spans="1:10" x14ac:dyDescent="0.25">
      <c r="A305" t="s">
        <v>313</v>
      </c>
      <c r="B305" t="s">
        <v>584</v>
      </c>
      <c r="C305" t="s">
        <v>901</v>
      </c>
      <c r="D305" t="s">
        <v>1153</v>
      </c>
      <c r="E305">
        <v>2.5</v>
      </c>
      <c r="F305">
        <v>4</v>
      </c>
      <c r="G305" t="s">
        <v>1178</v>
      </c>
      <c r="H305" t="s">
        <v>1180</v>
      </c>
      <c r="I305">
        <v>5.3</v>
      </c>
      <c r="J305">
        <v>53</v>
      </c>
    </row>
    <row r="306" spans="1:10" x14ac:dyDescent="0.25">
      <c r="A306" t="s">
        <v>314</v>
      </c>
      <c r="B306" t="s">
        <v>584</v>
      </c>
      <c r="C306" t="s">
        <v>902</v>
      </c>
      <c r="D306" t="s">
        <v>1153</v>
      </c>
      <c r="E306">
        <v>3.5</v>
      </c>
      <c r="F306">
        <v>6</v>
      </c>
      <c r="G306" t="s">
        <v>1168</v>
      </c>
      <c r="H306" t="s">
        <v>1180</v>
      </c>
      <c r="I306">
        <v>9.1999999999999993</v>
      </c>
      <c r="J306">
        <v>31</v>
      </c>
    </row>
    <row r="307" spans="1:10" x14ac:dyDescent="0.25">
      <c r="A307" t="s">
        <v>315</v>
      </c>
      <c r="B307" t="s">
        <v>584</v>
      </c>
      <c r="C307" t="s">
        <v>903</v>
      </c>
      <c r="D307" t="s">
        <v>1153</v>
      </c>
      <c r="E307">
        <v>3.5</v>
      </c>
      <c r="F307">
        <v>6</v>
      </c>
      <c r="G307" t="s">
        <v>1168</v>
      </c>
      <c r="H307" t="s">
        <v>1180</v>
      </c>
      <c r="I307">
        <v>9.4</v>
      </c>
      <c r="J307">
        <v>30</v>
      </c>
    </row>
    <row r="308" spans="1:10" x14ac:dyDescent="0.25">
      <c r="A308" t="s">
        <v>316</v>
      </c>
      <c r="B308" t="s">
        <v>584</v>
      </c>
      <c r="C308" t="s">
        <v>904</v>
      </c>
      <c r="D308" t="s">
        <v>1151</v>
      </c>
      <c r="E308">
        <v>3.4</v>
      </c>
      <c r="F308">
        <v>6</v>
      </c>
      <c r="G308" t="s">
        <v>1164</v>
      </c>
      <c r="H308" t="s">
        <v>1032</v>
      </c>
      <c r="I308">
        <v>13.5</v>
      </c>
      <c r="J308">
        <v>21</v>
      </c>
    </row>
    <row r="309" spans="1:10" x14ac:dyDescent="0.25">
      <c r="A309" t="s">
        <v>317</v>
      </c>
      <c r="B309" t="s">
        <v>584</v>
      </c>
      <c r="C309" t="s">
        <v>905</v>
      </c>
      <c r="D309" t="s">
        <v>1152</v>
      </c>
      <c r="E309">
        <v>3.5</v>
      </c>
      <c r="F309">
        <v>6</v>
      </c>
      <c r="G309" t="s">
        <v>1177</v>
      </c>
      <c r="H309" t="s">
        <v>1032</v>
      </c>
      <c r="I309">
        <v>10.8</v>
      </c>
      <c r="J309">
        <v>26</v>
      </c>
    </row>
    <row r="310" spans="1:10" x14ac:dyDescent="0.25">
      <c r="A310" t="s">
        <v>318</v>
      </c>
      <c r="B310" t="s">
        <v>584</v>
      </c>
      <c r="C310" t="s">
        <v>906</v>
      </c>
      <c r="D310" t="s">
        <v>1152</v>
      </c>
      <c r="E310">
        <v>3.5</v>
      </c>
      <c r="F310">
        <v>6</v>
      </c>
      <c r="G310" t="s">
        <v>1177</v>
      </c>
      <c r="H310" t="s">
        <v>1032</v>
      </c>
      <c r="I310">
        <v>10.8</v>
      </c>
      <c r="J310">
        <v>26</v>
      </c>
    </row>
    <row r="311" spans="1:10" x14ac:dyDescent="0.25">
      <c r="A311" t="s">
        <v>319</v>
      </c>
      <c r="B311" t="s">
        <v>584</v>
      </c>
      <c r="C311" t="s">
        <v>907</v>
      </c>
      <c r="D311" t="s">
        <v>1152</v>
      </c>
      <c r="E311">
        <v>5</v>
      </c>
      <c r="F311">
        <v>8</v>
      </c>
      <c r="G311" t="s">
        <v>1168</v>
      </c>
      <c r="H311" t="s">
        <v>1032</v>
      </c>
      <c r="I311">
        <v>11.9</v>
      </c>
      <c r="J311">
        <v>24</v>
      </c>
    </row>
    <row r="312" spans="1:10" x14ac:dyDescent="0.25">
      <c r="A312" t="s">
        <v>320</v>
      </c>
      <c r="B312" t="s">
        <v>584</v>
      </c>
      <c r="C312" t="s">
        <v>908</v>
      </c>
      <c r="D312" t="s">
        <v>1156</v>
      </c>
      <c r="E312">
        <v>5</v>
      </c>
      <c r="F312">
        <v>8</v>
      </c>
      <c r="G312" t="s">
        <v>1164</v>
      </c>
      <c r="H312" t="s">
        <v>1032</v>
      </c>
      <c r="I312">
        <v>12.7</v>
      </c>
      <c r="J312">
        <v>22</v>
      </c>
    </row>
    <row r="313" spans="1:10" x14ac:dyDescent="0.25">
      <c r="A313" t="s">
        <v>321</v>
      </c>
      <c r="B313" t="s">
        <v>584</v>
      </c>
      <c r="C313" t="s">
        <v>909</v>
      </c>
      <c r="D313" t="s">
        <v>1154</v>
      </c>
      <c r="E313">
        <v>5</v>
      </c>
      <c r="F313">
        <v>8</v>
      </c>
      <c r="G313" t="s">
        <v>1164</v>
      </c>
      <c r="H313" t="s">
        <v>1032</v>
      </c>
      <c r="I313">
        <v>13</v>
      </c>
      <c r="J313">
        <v>22</v>
      </c>
    </row>
    <row r="314" spans="1:10" x14ac:dyDescent="0.25">
      <c r="A314" t="s">
        <v>322</v>
      </c>
      <c r="B314" t="s">
        <v>584</v>
      </c>
      <c r="C314" t="s">
        <v>910</v>
      </c>
      <c r="D314" t="s">
        <v>1156</v>
      </c>
      <c r="E314">
        <v>3.5</v>
      </c>
      <c r="F314">
        <v>6</v>
      </c>
      <c r="G314" t="s">
        <v>1179</v>
      </c>
      <c r="H314" t="s">
        <v>1032</v>
      </c>
      <c r="I314">
        <v>8.1</v>
      </c>
      <c r="J314">
        <v>35</v>
      </c>
    </row>
    <row r="315" spans="1:10" x14ac:dyDescent="0.25">
      <c r="A315" t="s">
        <v>323</v>
      </c>
      <c r="B315" t="s">
        <v>584</v>
      </c>
      <c r="C315" t="s">
        <v>911</v>
      </c>
      <c r="D315" t="s">
        <v>1153</v>
      </c>
      <c r="E315">
        <v>3.4</v>
      </c>
      <c r="F315">
        <v>6</v>
      </c>
      <c r="G315" t="s">
        <v>1164</v>
      </c>
      <c r="H315" t="s">
        <v>1032</v>
      </c>
      <c r="I315">
        <v>11.2</v>
      </c>
      <c r="J315">
        <v>25</v>
      </c>
    </row>
    <row r="316" spans="1:10" x14ac:dyDescent="0.25">
      <c r="A316" t="s">
        <v>324</v>
      </c>
      <c r="B316" t="s">
        <v>584</v>
      </c>
      <c r="C316" t="s">
        <v>912</v>
      </c>
      <c r="D316" t="s">
        <v>1153</v>
      </c>
      <c r="E316">
        <v>3.5</v>
      </c>
      <c r="F316">
        <v>6</v>
      </c>
      <c r="G316" t="s">
        <v>1179</v>
      </c>
      <c r="H316" t="s">
        <v>1032</v>
      </c>
      <c r="I316">
        <v>9.1999999999999993</v>
      </c>
      <c r="J316">
        <v>31</v>
      </c>
    </row>
    <row r="317" spans="1:10" x14ac:dyDescent="0.25">
      <c r="A317" t="s">
        <v>325</v>
      </c>
      <c r="B317" t="s">
        <v>584</v>
      </c>
      <c r="C317" t="s">
        <v>913</v>
      </c>
      <c r="D317" t="s">
        <v>1151</v>
      </c>
      <c r="E317">
        <v>3.4</v>
      </c>
      <c r="F317">
        <v>6</v>
      </c>
      <c r="G317" t="s">
        <v>1164</v>
      </c>
      <c r="H317" t="s">
        <v>1032</v>
      </c>
      <c r="I317">
        <v>12.7</v>
      </c>
      <c r="J317">
        <v>22</v>
      </c>
    </row>
    <row r="318" spans="1:10" x14ac:dyDescent="0.25">
      <c r="A318" t="s">
        <v>326</v>
      </c>
      <c r="B318" t="s">
        <v>584</v>
      </c>
      <c r="C318" t="s">
        <v>914</v>
      </c>
      <c r="D318" t="s">
        <v>1151</v>
      </c>
      <c r="E318">
        <v>3.4</v>
      </c>
      <c r="F318">
        <v>6</v>
      </c>
      <c r="G318" t="s">
        <v>1164</v>
      </c>
      <c r="H318" t="s">
        <v>1032</v>
      </c>
      <c r="I318">
        <v>11.7</v>
      </c>
      <c r="J318">
        <v>24</v>
      </c>
    </row>
    <row r="319" spans="1:10" x14ac:dyDescent="0.25">
      <c r="A319" t="s">
        <v>327</v>
      </c>
      <c r="B319" t="s">
        <v>584</v>
      </c>
      <c r="C319" t="s">
        <v>915</v>
      </c>
      <c r="D319" t="s">
        <v>1150</v>
      </c>
      <c r="E319">
        <v>2.5</v>
      </c>
      <c r="F319">
        <v>4</v>
      </c>
      <c r="G319" t="s">
        <v>1168</v>
      </c>
      <c r="H319" t="s">
        <v>1180</v>
      </c>
      <c r="I319">
        <v>8.4</v>
      </c>
      <c r="J319">
        <v>34</v>
      </c>
    </row>
    <row r="320" spans="1:10" x14ac:dyDescent="0.25">
      <c r="A320" t="s">
        <v>328</v>
      </c>
      <c r="B320" t="s">
        <v>584</v>
      </c>
      <c r="C320" t="s">
        <v>916</v>
      </c>
      <c r="D320" t="s">
        <v>1150</v>
      </c>
      <c r="E320">
        <v>2.4</v>
      </c>
      <c r="F320">
        <v>4</v>
      </c>
      <c r="G320" t="s">
        <v>1168</v>
      </c>
      <c r="H320" t="s">
        <v>1032</v>
      </c>
      <c r="I320">
        <v>9.8000000000000007</v>
      </c>
      <c r="J320">
        <v>29</v>
      </c>
    </row>
    <row r="321" spans="1:10" x14ac:dyDescent="0.25">
      <c r="A321" t="s">
        <v>329</v>
      </c>
      <c r="B321" t="s">
        <v>584</v>
      </c>
      <c r="C321" t="s">
        <v>917</v>
      </c>
      <c r="D321" t="s">
        <v>1150</v>
      </c>
      <c r="E321">
        <v>2.4</v>
      </c>
      <c r="F321">
        <v>4</v>
      </c>
      <c r="G321" t="s">
        <v>1168</v>
      </c>
      <c r="H321" t="s">
        <v>1032</v>
      </c>
      <c r="I321">
        <v>9.6999999999999993</v>
      </c>
      <c r="J321">
        <v>29</v>
      </c>
    </row>
    <row r="322" spans="1:10" x14ac:dyDescent="0.25">
      <c r="A322" t="s">
        <v>330</v>
      </c>
      <c r="B322" t="s">
        <v>584</v>
      </c>
      <c r="C322" t="s">
        <v>918</v>
      </c>
      <c r="D322" t="s">
        <v>1150</v>
      </c>
      <c r="E322">
        <v>2.5</v>
      </c>
      <c r="F322">
        <v>4</v>
      </c>
      <c r="G322" t="s">
        <v>1178</v>
      </c>
      <c r="H322" t="s">
        <v>1032</v>
      </c>
      <c r="I322">
        <v>6</v>
      </c>
      <c r="J322">
        <v>47</v>
      </c>
    </row>
    <row r="323" spans="1:10" x14ac:dyDescent="0.25">
      <c r="A323" t="s">
        <v>331</v>
      </c>
      <c r="B323" t="s">
        <v>584</v>
      </c>
      <c r="C323" t="s">
        <v>919</v>
      </c>
      <c r="D323" t="s">
        <v>1156</v>
      </c>
      <c r="E323">
        <v>3.5</v>
      </c>
      <c r="F323">
        <v>6</v>
      </c>
      <c r="G323" t="s">
        <v>1177</v>
      </c>
      <c r="H323" t="s">
        <v>1032</v>
      </c>
      <c r="I323">
        <v>10.8</v>
      </c>
      <c r="J323">
        <v>26</v>
      </c>
    </row>
    <row r="324" spans="1:10" x14ac:dyDescent="0.25">
      <c r="A324" t="s">
        <v>332</v>
      </c>
      <c r="B324" t="s">
        <v>584</v>
      </c>
      <c r="C324" t="s">
        <v>920</v>
      </c>
      <c r="D324" t="s">
        <v>1156</v>
      </c>
      <c r="E324">
        <v>3.5</v>
      </c>
      <c r="F324">
        <v>6</v>
      </c>
      <c r="G324" t="s">
        <v>1177</v>
      </c>
      <c r="H324" t="s">
        <v>1032</v>
      </c>
      <c r="I324">
        <v>10.8</v>
      </c>
      <c r="J324">
        <v>26</v>
      </c>
    </row>
    <row r="325" spans="1:10" x14ac:dyDescent="0.25">
      <c r="A325" t="s">
        <v>333</v>
      </c>
      <c r="B325" t="s">
        <v>584</v>
      </c>
      <c r="C325" t="s">
        <v>921</v>
      </c>
      <c r="D325" t="s">
        <v>1156</v>
      </c>
      <c r="E325">
        <v>5</v>
      </c>
      <c r="F325">
        <v>8</v>
      </c>
      <c r="G325" t="s">
        <v>1168</v>
      </c>
      <c r="H325" t="s">
        <v>1032</v>
      </c>
      <c r="I325">
        <v>12.2</v>
      </c>
      <c r="J325">
        <v>23</v>
      </c>
    </row>
    <row r="326" spans="1:10" x14ac:dyDescent="0.25">
      <c r="A326" t="s">
        <v>334</v>
      </c>
      <c r="B326" t="s">
        <v>584</v>
      </c>
      <c r="C326" t="s">
        <v>922</v>
      </c>
      <c r="D326" t="s">
        <v>1150</v>
      </c>
      <c r="E326">
        <v>2.4</v>
      </c>
      <c r="F326">
        <v>4</v>
      </c>
      <c r="G326" t="s">
        <v>1168</v>
      </c>
      <c r="H326" t="s">
        <v>1032</v>
      </c>
      <c r="I326">
        <v>9.9</v>
      </c>
      <c r="J326">
        <v>29</v>
      </c>
    </row>
    <row r="327" spans="1:10" x14ac:dyDescent="0.25">
      <c r="A327" t="s">
        <v>335</v>
      </c>
      <c r="B327" t="s">
        <v>584</v>
      </c>
      <c r="C327" t="s">
        <v>923</v>
      </c>
      <c r="D327" t="s">
        <v>1150</v>
      </c>
      <c r="E327">
        <v>2.5</v>
      </c>
      <c r="F327">
        <v>4</v>
      </c>
      <c r="G327" t="s">
        <v>1178</v>
      </c>
      <c r="H327" t="s">
        <v>1032</v>
      </c>
      <c r="I327">
        <v>6.5</v>
      </c>
      <c r="J327">
        <v>43</v>
      </c>
    </row>
    <row r="328" spans="1:10" x14ac:dyDescent="0.25">
      <c r="A328" t="s">
        <v>336</v>
      </c>
      <c r="B328" t="s">
        <v>584</v>
      </c>
      <c r="C328" t="s">
        <v>924</v>
      </c>
      <c r="D328" t="s">
        <v>1150</v>
      </c>
      <c r="E328">
        <v>2.4</v>
      </c>
      <c r="F328">
        <v>4</v>
      </c>
      <c r="G328" t="s">
        <v>1177</v>
      </c>
      <c r="H328" t="s">
        <v>1032</v>
      </c>
      <c r="I328">
        <v>8.6</v>
      </c>
      <c r="J328">
        <v>33</v>
      </c>
    </row>
    <row r="329" spans="1:10" x14ac:dyDescent="0.25">
      <c r="A329" t="s">
        <v>337</v>
      </c>
      <c r="B329" t="s">
        <v>584</v>
      </c>
      <c r="C329" t="s">
        <v>925</v>
      </c>
      <c r="D329" t="s">
        <v>1151</v>
      </c>
      <c r="E329">
        <v>2.4</v>
      </c>
      <c r="F329">
        <v>4</v>
      </c>
      <c r="G329" t="s">
        <v>1168</v>
      </c>
      <c r="H329" t="s">
        <v>1032</v>
      </c>
      <c r="I329">
        <v>10.3</v>
      </c>
      <c r="J329">
        <v>27</v>
      </c>
    </row>
    <row r="330" spans="1:10" x14ac:dyDescent="0.25">
      <c r="A330" t="s">
        <v>338</v>
      </c>
      <c r="B330" t="s">
        <v>584</v>
      </c>
      <c r="C330" t="s">
        <v>926</v>
      </c>
      <c r="D330" t="s">
        <v>1151</v>
      </c>
      <c r="E330">
        <v>2.4</v>
      </c>
      <c r="F330">
        <v>4</v>
      </c>
      <c r="G330" t="s">
        <v>1177</v>
      </c>
      <c r="H330" t="s">
        <v>1032</v>
      </c>
      <c r="I330">
        <v>8.6</v>
      </c>
      <c r="J330">
        <v>33</v>
      </c>
    </row>
    <row r="331" spans="1:10" x14ac:dyDescent="0.25">
      <c r="A331" t="s">
        <v>339</v>
      </c>
      <c r="B331" t="s">
        <v>584</v>
      </c>
      <c r="C331" t="s">
        <v>927</v>
      </c>
      <c r="D331" t="s">
        <v>1152</v>
      </c>
      <c r="E331">
        <v>2</v>
      </c>
      <c r="F331">
        <v>4</v>
      </c>
      <c r="G331" t="s">
        <v>1169</v>
      </c>
      <c r="H331" t="s">
        <v>1180</v>
      </c>
      <c r="I331">
        <v>5.6</v>
      </c>
      <c r="J331">
        <v>50</v>
      </c>
    </row>
    <row r="332" spans="1:10" x14ac:dyDescent="0.25">
      <c r="A332" t="s">
        <v>340</v>
      </c>
      <c r="B332" t="s">
        <v>585</v>
      </c>
      <c r="C332" t="s">
        <v>928</v>
      </c>
      <c r="D332" t="s">
        <v>1151</v>
      </c>
      <c r="E332">
        <v>3</v>
      </c>
      <c r="F332">
        <v>6</v>
      </c>
      <c r="G332" t="s">
        <v>1164</v>
      </c>
      <c r="H332" t="s">
        <v>1180</v>
      </c>
      <c r="I332">
        <v>11.9</v>
      </c>
      <c r="J332">
        <v>24</v>
      </c>
    </row>
    <row r="333" spans="1:10" x14ac:dyDescent="0.25">
      <c r="A333" t="s">
        <v>341</v>
      </c>
      <c r="B333" t="s">
        <v>585</v>
      </c>
      <c r="C333" t="s">
        <v>929</v>
      </c>
      <c r="D333" t="s">
        <v>1150</v>
      </c>
      <c r="E333">
        <v>2</v>
      </c>
      <c r="F333">
        <v>4</v>
      </c>
      <c r="G333" t="s">
        <v>1168</v>
      </c>
      <c r="H333" t="s">
        <v>1180</v>
      </c>
      <c r="I333">
        <v>9.9</v>
      </c>
      <c r="J333">
        <v>29</v>
      </c>
    </row>
    <row r="334" spans="1:10" x14ac:dyDescent="0.25">
      <c r="A334" t="s">
        <v>342</v>
      </c>
      <c r="B334" t="s">
        <v>585</v>
      </c>
      <c r="C334" t="s">
        <v>930</v>
      </c>
      <c r="D334" t="s">
        <v>1150</v>
      </c>
      <c r="E334">
        <v>2</v>
      </c>
      <c r="F334">
        <v>4</v>
      </c>
      <c r="G334" t="s">
        <v>1165</v>
      </c>
      <c r="H334" t="s">
        <v>1180</v>
      </c>
      <c r="I334">
        <v>9.8000000000000007</v>
      </c>
      <c r="J334">
        <v>29</v>
      </c>
    </row>
    <row r="335" spans="1:10" x14ac:dyDescent="0.25">
      <c r="A335" t="s">
        <v>343</v>
      </c>
      <c r="B335" t="s">
        <v>585</v>
      </c>
      <c r="C335" t="s">
        <v>931</v>
      </c>
      <c r="D335" t="s">
        <v>1150</v>
      </c>
      <c r="E335">
        <v>2</v>
      </c>
      <c r="F335">
        <v>4</v>
      </c>
      <c r="G335" t="s">
        <v>1169</v>
      </c>
      <c r="H335" t="s">
        <v>1180</v>
      </c>
      <c r="I335">
        <v>7.7</v>
      </c>
      <c r="J335">
        <v>37</v>
      </c>
    </row>
    <row r="336" spans="1:10" x14ac:dyDescent="0.25">
      <c r="A336" t="s">
        <v>344</v>
      </c>
      <c r="B336" t="s">
        <v>585</v>
      </c>
      <c r="C336" t="s">
        <v>932</v>
      </c>
      <c r="D336" t="s">
        <v>1151</v>
      </c>
      <c r="E336">
        <v>3.5</v>
      </c>
      <c r="F336">
        <v>6</v>
      </c>
      <c r="G336" t="s">
        <v>1164</v>
      </c>
      <c r="H336" t="s">
        <v>1180</v>
      </c>
      <c r="I336">
        <v>13.5</v>
      </c>
      <c r="J336">
        <v>21</v>
      </c>
    </row>
    <row r="337" spans="1:10" x14ac:dyDescent="0.25">
      <c r="A337" t="s">
        <v>345</v>
      </c>
      <c r="B337" t="s">
        <v>586</v>
      </c>
      <c r="C337" t="s">
        <v>933</v>
      </c>
      <c r="D337" t="s">
        <v>1150</v>
      </c>
      <c r="E337">
        <v>2.5</v>
      </c>
      <c r="F337">
        <v>4</v>
      </c>
      <c r="G337" t="s">
        <v>1177</v>
      </c>
      <c r="H337" t="s">
        <v>1180</v>
      </c>
      <c r="I337">
        <v>8.1999999999999993</v>
      </c>
      <c r="J337">
        <v>34</v>
      </c>
    </row>
    <row r="338" spans="1:10" x14ac:dyDescent="0.25">
      <c r="A338" t="s">
        <v>346</v>
      </c>
      <c r="B338" t="s">
        <v>586</v>
      </c>
      <c r="C338" t="s">
        <v>934</v>
      </c>
      <c r="D338" t="s">
        <v>1150</v>
      </c>
      <c r="E338">
        <v>2.5</v>
      </c>
      <c r="F338">
        <v>4</v>
      </c>
      <c r="G338" t="s">
        <v>1177</v>
      </c>
      <c r="H338" t="s">
        <v>1180</v>
      </c>
      <c r="I338">
        <v>9.3000000000000007</v>
      </c>
      <c r="J338">
        <v>30</v>
      </c>
    </row>
    <row r="339" spans="1:10" x14ac:dyDescent="0.25">
      <c r="A339" t="s">
        <v>347</v>
      </c>
      <c r="B339" t="s">
        <v>586</v>
      </c>
      <c r="C339" t="s">
        <v>935</v>
      </c>
      <c r="D339" t="s">
        <v>1150</v>
      </c>
      <c r="E339">
        <v>2.5</v>
      </c>
      <c r="F339">
        <v>4</v>
      </c>
      <c r="G339" t="s">
        <v>1177</v>
      </c>
      <c r="H339" t="s">
        <v>1180</v>
      </c>
      <c r="I339">
        <v>9.3000000000000007</v>
      </c>
      <c r="J339">
        <v>30</v>
      </c>
    </row>
    <row r="340" spans="1:10" x14ac:dyDescent="0.25">
      <c r="A340" t="s">
        <v>348</v>
      </c>
      <c r="B340" t="s">
        <v>586</v>
      </c>
      <c r="C340" t="s">
        <v>936</v>
      </c>
      <c r="D340" t="s">
        <v>1150</v>
      </c>
      <c r="E340">
        <v>2.5</v>
      </c>
      <c r="F340">
        <v>4</v>
      </c>
      <c r="G340" t="s">
        <v>1177</v>
      </c>
      <c r="H340" t="s">
        <v>1180</v>
      </c>
      <c r="I340">
        <v>8.5</v>
      </c>
      <c r="J340">
        <v>33</v>
      </c>
    </row>
    <row r="341" spans="1:10" x14ac:dyDescent="0.25">
      <c r="A341" t="s">
        <v>349</v>
      </c>
      <c r="B341" t="s">
        <v>586</v>
      </c>
      <c r="C341" t="s">
        <v>937</v>
      </c>
      <c r="D341" t="s">
        <v>1150</v>
      </c>
      <c r="E341">
        <v>2.5</v>
      </c>
      <c r="F341">
        <v>4</v>
      </c>
      <c r="G341" t="s">
        <v>1177</v>
      </c>
      <c r="H341" t="s">
        <v>1180</v>
      </c>
      <c r="I341">
        <v>9.8000000000000007</v>
      </c>
      <c r="J341">
        <v>29</v>
      </c>
    </row>
    <row r="342" spans="1:10" x14ac:dyDescent="0.25">
      <c r="A342" t="s">
        <v>350</v>
      </c>
      <c r="B342" t="s">
        <v>586</v>
      </c>
      <c r="C342" t="s">
        <v>938</v>
      </c>
      <c r="D342" t="s">
        <v>1150</v>
      </c>
      <c r="E342">
        <v>2.5</v>
      </c>
      <c r="F342">
        <v>4</v>
      </c>
      <c r="G342" t="s">
        <v>1177</v>
      </c>
      <c r="H342" t="s">
        <v>1180</v>
      </c>
      <c r="I342">
        <v>8.9</v>
      </c>
      <c r="J342">
        <v>32</v>
      </c>
    </row>
    <row r="343" spans="1:10" x14ac:dyDescent="0.25">
      <c r="A343" t="s">
        <v>351</v>
      </c>
      <c r="B343" t="s">
        <v>586</v>
      </c>
      <c r="C343" t="s">
        <v>939</v>
      </c>
      <c r="D343" t="s">
        <v>1150</v>
      </c>
      <c r="E343">
        <v>2.5</v>
      </c>
      <c r="F343">
        <v>4</v>
      </c>
      <c r="G343" t="s">
        <v>1177</v>
      </c>
      <c r="H343" t="s">
        <v>1180</v>
      </c>
      <c r="I343">
        <v>9.4</v>
      </c>
      <c r="J343">
        <v>30</v>
      </c>
    </row>
    <row r="344" spans="1:10" x14ac:dyDescent="0.25">
      <c r="A344" t="s">
        <v>352</v>
      </c>
      <c r="B344" t="s">
        <v>586</v>
      </c>
      <c r="C344" t="s">
        <v>940</v>
      </c>
      <c r="D344" t="s">
        <v>1150</v>
      </c>
      <c r="E344">
        <v>2.5</v>
      </c>
      <c r="F344">
        <v>4</v>
      </c>
      <c r="G344" t="s">
        <v>1169</v>
      </c>
      <c r="H344" t="s">
        <v>1180</v>
      </c>
      <c r="I344">
        <v>6.2</v>
      </c>
      <c r="J344">
        <v>46</v>
      </c>
    </row>
    <row r="345" spans="1:10" x14ac:dyDescent="0.25">
      <c r="A345" t="s">
        <v>353</v>
      </c>
      <c r="B345" t="s">
        <v>586</v>
      </c>
      <c r="C345" t="s">
        <v>941</v>
      </c>
      <c r="D345" t="s">
        <v>1151</v>
      </c>
      <c r="E345">
        <v>3.3</v>
      </c>
      <c r="F345">
        <v>6</v>
      </c>
      <c r="G345" t="s">
        <v>1168</v>
      </c>
      <c r="H345" t="s">
        <v>1180</v>
      </c>
      <c r="I345">
        <v>9.3000000000000007</v>
      </c>
      <c r="J345">
        <v>30</v>
      </c>
    </row>
    <row r="346" spans="1:10" x14ac:dyDescent="0.25">
      <c r="A346" t="s">
        <v>354</v>
      </c>
      <c r="B346" t="s">
        <v>586</v>
      </c>
      <c r="C346" t="s">
        <v>942</v>
      </c>
      <c r="D346" t="s">
        <v>1151</v>
      </c>
      <c r="E346">
        <v>3.3</v>
      </c>
      <c r="F346">
        <v>6</v>
      </c>
      <c r="G346" t="s">
        <v>1168</v>
      </c>
      <c r="H346" t="s">
        <v>1032</v>
      </c>
      <c r="I346">
        <v>9.5</v>
      </c>
      <c r="J346">
        <v>30</v>
      </c>
    </row>
    <row r="347" spans="1:10" x14ac:dyDescent="0.25">
      <c r="A347" t="s">
        <v>355</v>
      </c>
      <c r="B347" t="s">
        <v>586</v>
      </c>
      <c r="C347" t="s">
        <v>943</v>
      </c>
      <c r="D347" t="s">
        <v>1151</v>
      </c>
      <c r="E347">
        <v>3.3</v>
      </c>
      <c r="F347">
        <v>6</v>
      </c>
      <c r="G347" t="s">
        <v>1168</v>
      </c>
      <c r="H347" t="s">
        <v>1180</v>
      </c>
      <c r="I347">
        <v>9.3000000000000007</v>
      </c>
      <c r="J347">
        <v>30</v>
      </c>
    </row>
    <row r="348" spans="1:10" x14ac:dyDescent="0.25">
      <c r="A348" t="s">
        <v>356</v>
      </c>
      <c r="B348" t="s">
        <v>586</v>
      </c>
      <c r="C348" t="s">
        <v>944</v>
      </c>
      <c r="D348" t="s">
        <v>1151</v>
      </c>
      <c r="E348">
        <v>3.3</v>
      </c>
      <c r="F348">
        <v>6</v>
      </c>
      <c r="G348" t="s">
        <v>1168</v>
      </c>
      <c r="H348" t="s">
        <v>1032</v>
      </c>
      <c r="I348">
        <v>9.5</v>
      </c>
      <c r="J348">
        <v>30</v>
      </c>
    </row>
    <row r="349" spans="1:10" x14ac:dyDescent="0.25">
      <c r="A349" t="s">
        <v>357</v>
      </c>
      <c r="B349" t="s">
        <v>586</v>
      </c>
      <c r="C349" t="s">
        <v>945</v>
      </c>
      <c r="D349" t="s">
        <v>1152</v>
      </c>
      <c r="E349">
        <v>2.5</v>
      </c>
      <c r="F349">
        <v>4</v>
      </c>
      <c r="G349" t="s">
        <v>1177</v>
      </c>
      <c r="H349" t="s">
        <v>1180</v>
      </c>
      <c r="I349">
        <v>7.5</v>
      </c>
      <c r="J349">
        <v>38</v>
      </c>
    </row>
    <row r="350" spans="1:10" x14ac:dyDescent="0.25">
      <c r="A350" t="s">
        <v>358</v>
      </c>
      <c r="B350" t="s">
        <v>586</v>
      </c>
      <c r="C350" t="s">
        <v>946</v>
      </c>
      <c r="D350" t="s">
        <v>1152</v>
      </c>
      <c r="E350">
        <v>2.5</v>
      </c>
      <c r="F350">
        <v>4</v>
      </c>
      <c r="G350" t="s">
        <v>1177</v>
      </c>
      <c r="H350" t="s">
        <v>1180</v>
      </c>
      <c r="I350">
        <v>7.9</v>
      </c>
      <c r="J350">
        <v>36</v>
      </c>
    </row>
    <row r="351" spans="1:10" x14ac:dyDescent="0.25">
      <c r="A351" t="s">
        <v>359</v>
      </c>
      <c r="B351" t="s">
        <v>586</v>
      </c>
      <c r="C351" t="s">
        <v>947</v>
      </c>
      <c r="D351" t="s">
        <v>1152</v>
      </c>
      <c r="E351">
        <v>2.5</v>
      </c>
      <c r="F351">
        <v>4</v>
      </c>
      <c r="G351" t="s">
        <v>1177</v>
      </c>
      <c r="H351" t="s">
        <v>1180</v>
      </c>
      <c r="I351">
        <v>8.8000000000000007</v>
      </c>
      <c r="J351">
        <v>32</v>
      </c>
    </row>
    <row r="352" spans="1:10" x14ac:dyDescent="0.25">
      <c r="A352" t="s">
        <v>360</v>
      </c>
      <c r="B352" t="s">
        <v>586</v>
      </c>
      <c r="C352" t="s">
        <v>948</v>
      </c>
      <c r="D352" t="s">
        <v>1153</v>
      </c>
      <c r="E352">
        <v>2.5</v>
      </c>
      <c r="F352">
        <v>4</v>
      </c>
      <c r="G352" t="s">
        <v>1177</v>
      </c>
      <c r="H352" t="s">
        <v>1180</v>
      </c>
      <c r="I352">
        <v>7.6</v>
      </c>
      <c r="J352">
        <v>37</v>
      </c>
    </row>
    <row r="353" spans="1:10" x14ac:dyDescent="0.25">
      <c r="A353" t="s">
        <v>361</v>
      </c>
      <c r="B353" t="s">
        <v>586</v>
      </c>
      <c r="C353" t="s">
        <v>949</v>
      </c>
      <c r="D353" t="s">
        <v>1153</v>
      </c>
      <c r="E353">
        <v>2.5</v>
      </c>
      <c r="F353">
        <v>4</v>
      </c>
      <c r="G353" t="s">
        <v>1163</v>
      </c>
      <c r="H353" t="s">
        <v>1180</v>
      </c>
      <c r="I353">
        <v>7.8</v>
      </c>
      <c r="J353">
        <v>36</v>
      </c>
    </row>
    <row r="354" spans="1:10" x14ac:dyDescent="0.25">
      <c r="A354" t="s">
        <v>362</v>
      </c>
      <c r="B354" t="s">
        <v>586</v>
      </c>
      <c r="C354" t="s">
        <v>950</v>
      </c>
      <c r="D354" t="s">
        <v>1153</v>
      </c>
      <c r="E354">
        <v>2.5</v>
      </c>
      <c r="F354">
        <v>4</v>
      </c>
      <c r="G354" t="s">
        <v>1177</v>
      </c>
      <c r="H354" t="s">
        <v>1180</v>
      </c>
      <c r="I354">
        <v>8.1</v>
      </c>
      <c r="J354">
        <v>35</v>
      </c>
    </row>
    <row r="355" spans="1:10" x14ac:dyDescent="0.25">
      <c r="A355" t="s">
        <v>363</v>
      </c>
      <c r="B355" t="s">
        <v>586</v>
      </c>
      <c r="C355" t="s">
        <v>951</v>
      </c>
      <c r="D355" t="s">
        <v>1153</v>
      </c>
      <c r="E355">
        <v>2.5</v>
      </c>
      <c r="F355">
        <v>4</v>
      </c>
      <c r="G355" t="s">
        <v>1177</v>
      </c>
      <c r="H355" t="s">
        <v>1180</v>
      </c>
      <c r="I355">
        <v>8.9</v>
      </c>
      <c r="J355">
        <v>32</v>
      </c>
    </row>
    <row r="356" spans="1:10" x14ac:dyDescent="0.25">
      <c r="A356" t="s">
        <v>364</v>
      </c>
      <c r="B356" t="s">
        <v>586</v>
      </c>
      <c r="C356" t="s">
        <v>952</v>
      </c>
      <c r="D356" t="s">
        <v>1155</v>
      </c>
      <c r="E356">
        <v>2</v>
      </c>
      <c r="F356">
        <v>4</v>
      </c>
      <c r="G356" t="s">
        <v>1177</v>
      </c>
      <c r="H356" t="s">
        <v>1032</v>
      </c>
      <c r="I356">
        <v>8</v>
      </c>
      <c r="J356">
        <v>35</v>
      </c>
    </row>
    <row r="357" spans="1:10" x14ac:dyDescent="0.25">
      <c r="A357" t="s">
        <v>365</v>
      </c>
      <c r="B357" t="s">
        <v>586</v>
      </c>
      <c r="C357" t="s">
        <v>953</v>
      </c>
      <c r="D357" t="s">
        <v>1155</v>
      </c>
      <c r="E357">
        <v>2</v>
      </c>
      <c r="F357">
        <v>4</v>
      </c>
      <c r="G357" t="s">
        <v>1163</v>
      </c>
      <c r="H357" t="s">
        <v>1032</v>
      </c>
      <c r="I357">
        <v>8.1</v>
      </c>
      <c r="J357">
        <v>35</v>
      </c>
    </row>
    <row r="358" spans="1:10" x14ac:dyDescent="0.25">
      <c r="A358" t="s">
        <v>366</v>
      </c>
      <c r="B358" t="s">
        <v>587</v>
      </c>
      <c r="C358" t="s">
        <v>954</v>
      </c>
      <c r="D358" t="s">
        <v>1152</v>
      </c>
      <c r="E358">
        <v>2</v>
      </c>
      <c r="F358">
        <v>4</v>
      </c>
      <c r="G358" t="s">
        <v>1166</v>
      </c>
      <c r="H358" t="s">
        <v>1032</v>
      </c>
      <c r="I358">
        <v>10.8</v>
      </c>
      <c r="J358">
        <v>26</v>
      </c>
    </row>
    <row r="359" spans="1:10" x14ac:dyDescent="0.25">
      <c r="A359" t="s">
        <v>367</v>
      </c>
      <c r="B359" t="s">
        <v>587</v>
      </c>
      <c r="C359" t="s">
        <v>955</v>
      </c>
      <c r="D359" t="s">
        <v>1152</v>
      </c>
      <c r="E359">
        <v>2</v>
      </c>
      <c r="F359">
        <v>4</v>
      </c>
      <c r="G359" t="s">
        <v>1173</v>
      </c>
      <c r="H359" t="s">
        <v>1032</v>
      </c>
      <c r="I359">
        <v>9.6</v>
      </c>
      <c r="J359">
        <v>29</v>
      </c>
    </row>
    <row r="360" spans="1:10" x14ac:dyDescent="0.25">
      <c r="A360" t="s">
        <v>368</v>
      </c>
      <c r="B360" t="s">
        <v>587</v>
      </c>
      <c r="C360" t="s">
        <v>956</v>
      </c>
      <c r="D360" t="s">
        <v>1152</v>
      </c>
      <c r="E360">
        <v>2</v>
      </c>
      <c r="F360">
        <v>4</v>
      </c>
      <c r="G360" t="s">
        <v>1173</v>
      </c>
      <c r="H360" t="s">
        <v>1032</v>
      </c>
      <c r="I360">
        <v>10.199999999999999</v>
      </c>
      <c r="J360">
        <v>28</v>
      </c>
    </row>
    <row r="361" spans="1:10" x14ac:dyDescent="0.25">
      <c r="A361" t="s">
        <v>369</v>
      </c>
      <c r="B361" t="s">
        <v>587</v>
      </c>
      <c r="C361" t="s">
        <v>957</v>
      </c>
      <c r="D361" t="s">
        <v>1156</v>
      </c>
      <c r="E361">
        <v>3</v>
      </c>
      <c r="F361">
        <v>6</v>
      </c>
      <c r="G361" t="s">
        <v>1166</v>
      </c>
      <c r="H361" t="s">
        <v>1032</v>
      </c>
      <c r="I361">
        <v>10.8</v>
      </c>
      <c r="J361">
        <v>26</v>
      </c>
    </row>
    <row r="362" spans="1:10" x14ac:dyDescent="0.25">
      <c r="A362" t="s">
        <v>370</v>
      </c>
      <c r="B362" t="s">
        <v>587</v>
      </c>
      <c r="C362" t="s">
        <v>958</v>
      </c>
      <c r="D362" t="s">
        <v>1156</v>
      </c>
      <c r="E362">
        <v>3</v>
      </c>
      <c r="F362">
        <v>6</v>
      </c>
      <c r="G362" t="s">
        <v>1166</v>
      </c>
      <c r="H362" t="s">
        <v>1032</v>
      </c>
      <c r="I362">
        <v>10.4</v>
      </c>
      <c r="J362">
        <v>27</v>
      </c>
    </row>
    <row r="363" spans="1:10" x14ac:dyDescent="0.25">
      <c r="A363" t="s">
        <v>371</v>
      </c>
      <c r="B363" t="s">
        <v>587</v>
      </c>
      <c r="C363" t="s">
        <v>959</v>
      </c>
      <c r="D363" t="s">
        <v>1151</v>
      </c>
      <c r="E363">
        <v>4</v>
      </c>
      <c r="F363">
        <v>8</v>
      </c>
      <c r="G363" t="s">
        <v>1166</v>
      </c>
      <c r="H363" t="s">
        <v>1032</v>
      </c>
      <c r="I363">
        <v>16.2</v>
      </c>
      <c r="J363">
        <v>17</v>
      </c>
    </row>
    <row r="364" spans="1:10" x14ac:dyDescent="0.25">
      <c r="A364" t="s">
        <v>372</v>
      </c>
      <c r="B364" t="s">
        <v>587</v>
      </c>
      <c r="C364" t="s">
        <v>960</v>
      </c>
      <c r="D364" t="s">
        <v>1157</v>
      </c>
      <c r="E364">
        <v>2</v>
      </c>
      <c r="F364">
        <v>4</v>
      </c>
      <c r="G364" t="s">
        <v>1173</v>
      </c>
      <c r="H364" t="s">
        <v>1032</v>
      </c>
      <c r="I364">
        <v>9.8000000000000007</v>
      </c>
      <c r="J364">
        <v>29</v>
      </c>
    </row>
    <row r="365" spans="1:10" x14ac:dyDescent="0.25">
      <c r="A365" t="s">
        <v>373</v>
      </c>
      <c r="B365" t="s">
        <v>587</v>
      </c>
      <c r="C365" t="s">
        <v>961</v>
      </c>
      <c r="D365" t="s">
        <v>1157</v>
      </c>
      <c r="E365">
        <v>2</v>
      </c>
      <c r="F365">
        <v>4</v>
      </c>
      <c r="G365" t="s">
        <v>1173</v>
      </c>
      <c r="H365" t="s">
        <v>1032</v>
      </c>
      <c r="I365">
        <v>10.3</v>
      </c>
      <c r="J365">
        <v>27</v>
      </c>
    </row>
    <row r="366" spans="1:10" x14ac:dyDescent="0.25">
      <c r="A366" t="s">
        <v>374</v>
      </c>
      <c r="B366" t="s">
        <v>587</v>
      </c>
      <c r="C366" t="s">
        <v>962</v>
      </c>
      <c r="D366" t="s">
        <v>1157</v>
      </c>
      <c r="E366">
        <v>2</v>
      </c>
      <c r="F366">
        <v>4</v>
      </c>
      <c r="G366" t="s">
        <v>1166</v>
      </c>
      <c r="H366" t="s">
        <v>1032</v>
      </c>
      <c r="I366">
        <v>11.2</v>
      </c>
      <c r="J366">
        <v>25</v>
      </c>
    </row>
    <row r="367" spans="1:10" x14ac:dyDescent="0.25">
      <c r="A367" t="s">
        <v>375</v>
      </c>
      <c r="B367" t="s">
        <v>587</v>
      </c>
      <c r="C367" t="s">
        <v>963</v>
      </c>
      <c r="D367" t="s">
        <v>1157</v>
      </c>
      <c r="E367">
        <v>2</v>
      </c>
      <c r="F367">
        <v>4</v>
      </c>
      <c r="G367" t="s">
        <v>1166</v>
      </c>
      <c r="H367" t="s">
        <v>1032</v>
      </c>
      <c r="I367">
        <v>11.4</v>
      </c>
      <c r="J367">
        <v>25</v>
      </c>
    </row>
    <row r="368" spans="1:10" x14ac:dyDescent="0.25">
      <c r="A368" t="s">
        <v>376</v>
      </c>
      <c r="B368" t="s">
        <v>587</v>
      </c>
      <c r="C368" t="s">
        <v>964</v>
      </c>
      <c r="D368" t="s">
        <v>1151</v>
      </c>
      <c r="E368">
        <v>3</v>
      </c>
      <c r="F368">
        <v>6</v>
      </c>
      <c r="G368" t="s">
        <v>1166</v>
      </c>
      <c r="H368" t="s">
        <v>1032</v>
      </c>
      <c r="I368">
        <v>11.7</v>
      </c>
      <c r="J368">
        <v>24</v>
      </c>
    </row>
    <row r="369" spans="1:10" x14ac:dyDescent="0.25">
      <c r="A369" t="s">
        <v>377</v>
      </c>
      <c r="B369" t="s">
        <v>587</v>
      </c>
      <c r="C369" t="s">
        <v>965</v>
      </c>
      <c r="D369" t="s">
        <v>1151</v>
      </c>
      <c r="E369">
        <v>3</v>
      </c>
      <c r="F369">
        <v>6</v>
      </c>
      <c r="G369" t="s">
        <v>1166</v>
      </c>
      <c r="H369" t="s">
        <v>1032</v>
      </c>
      <c r="I369">
        <v>12.1</v>
      </c>
      <c r="J369">
        <v>23</v>
      </c>
    </row>
    <row r="370" spans="1:10" x14ac:dyDescent="0.25">
      <c r="A370" t="s">
        <v>378</v>
      </c>
      <c r="B370" t="s">
        <v>587</v>
      </c>
      <c r="C370" t="s">
        <v>966</v>
      </c>
      <c r="D370" t="s">
        <v>1151</v>
      </c>
      <c r="E370">
        <v>4</v>
      </c>
      <c r="F370">
        <v>8</v>
      </c>
      <c r="G370" t="s">
        <v>1166</v>
      </c>
      <c r="H370" t="s">
        <v>1032</v>
      </c>
      <c r="I370">
        <v>15.2</v>
      </c>
      <c r="J370">
        <v>19</v>
      </c>
    </row>
    <row r="371" spans="1:10" x14ac:dyDescent="0.25">
      <c r="A371" t="s">
        <v>379</v>
      </c>
      <c r="B371" t="s">
        <v>587</v>
      </c>
      <c r="C371" t="s">
        <v>967</v>
      </c>
      <c r="D371" t="s">
        <v>1151</v>
      </c>
      <c r="E371">
        <v>4</v>
      </c>
      <c r="F371">
        <v>8</v>
      </c>
      <c r="G371" t="s">
        <v>1166</v>
      </c>
      <c r="H371" t="s">
        <v>1032</v>
      </c>
      <c r="I371">
        <v>15.2</v>
      </c>
      <c r="J371">
        <v>19</v>
      </c>
    </row>
    <row r="372" spans="1:10" x14ac:dyDescent="0.25">
      <c r="A372" t="s">
        <v>380</v>
      </c>
      <c r="B372" t="s">
        <v>587</v>
      </c>
      <c r="C372" t="s">
        <v>968</v>
      </c>
      <c r="D372" t="s">
        <v>1151</v>
      </c>
      <c r="E372">
        <v>4</v>
      </c>
      <c r="F372">
        <v>8</v>
      </c>
      <c r="G372" t="s">
        <v>1166</v>
      </c>
      <c r="H372" t="s">
        <v>1032</v>
      </c>
      <c r="I372">
        <v>15.3</v>
      </c>
      <c r="J372">
        <v>18</v>
      </c>
    </row>
    <row r="373" spans="1:10" x14ac:dyDescent="0.25">
      <c r="A373" t="s">
        <v>381</v>
      </c>
      <c r="B373" t="s">
        <v>587</v>
      </c>
      <c r="C373" t="s">
        <v>969</v>
      </c>
      <c r="D373" t="s">
        <v>1152</v>
      </c>
      <c r="E373">
        <v>3</v>
      </c>
      <c r="F373">
        <v>6</v>
      </c>
      <c r="G373" t="s">
        <v>1166</v>
      </c>
      <c r="H373" t="s">
        <v>1032</v>
      </c>
      <c r="I373">
        <v>11.3</v>
      </c>
      <c r="J373">
        <v>25</v>
      </c>
    </row>
    <row r="374" spans="1:10" x14ac:dyDescent="0.25">
      <c r="A374" t="s">
        <v>382</v>
      </c>
      <c r="B374" t="s">
        <v>587</v>
      </c>
      <c r="C374" t="s">
        <v>970</v>
      </c>
      <c r="D374" t="s">
        <v>1156</v>
      </c>
      <c r="E374">
        <v>4</v>
      </c>
      <c r="F374">
        <v>8</v>
      </c>
      <c r="G374" t="s">
        <v>1166</v>
      </c>
      <c r="H374" t="s">
        <v>1032</v>
      </c>
      <c r="I374">
        <v>16.5</v>
      </c>
      <c r="J374">
        <v>17</v>
      </c>
    </row>
    <row r="375" spans="1:10" x14ac:dyDescent="0.25">
      <c r="A375" t="s">
        <v>383</v>
      </c>
      <c r="B375" t="s">
        <v>587</v>
      </c>
      <c r="C375" t="s">
        <v>971</v>
      </c>
      <c r="D375" t="s">
        <v>1152</v>
      </c>
      <c r="E375">
        <v>4</v>
      </c>
      <c r="F375">
        <v>8</v>
      </c>
      <c r="G375" t="s">
        <v>1166</v>
      </c>
      <c r="H375" t="s">
        <v>1032</v>
      </c>
      <c r="I375">
        <v>13.5</v>
      </c>
      <c r="J375">
        <v>21</v>
      </c>
    </row>
    <row r="376" spans="1:10" x14ac:dyDescent="0.25">
      <c r="A376" t="s">
        <v>384</v>
      </c>
      <c r="B376" t="s">
        <v>587</v>
      </c>
      <c r="C376" t="s">
        <v>972</v>
      </c>
      <c r="D376" t="s">
        <v>1156</v>
      </c>
      <c r="E376">
        <v>4</v>
      </c>
      <c r="F376">
        <v>8</v>
      </c>
      <c r="G376" t="s">
        <v>1166</v>
      </c>
      <c r="H376" t="s">
        <v>1032</v>
      </c>
      <c r="I376">
        <v>16.5</v>
      </c>
      <c r="J376">
        <v>17</v>
      </c>
    </row>
    <row r="377" spans="1:10" x14ac:dyDescent="0.25">
      <c r="A377" t="s">
        <v>385</v>
      </c>
      <c r="B377" t="s">
        <v>587</v>
      </c>
      <c r="C377" t="s">
        <v>973</v>
      </c>
      <c r="D377" t="s">
        <v>1156</v>
      </c>
      <c r="E377">
        <v>4</v>
      </c>
      <c r="F377">
        <v>8</v>
      </c>
      <c r="G377" t="s">
        <v>1166</v>
      </c>
      <c r="H377" t="s">
        <v>1032</v>
      </c>
      <c r="I377">
        <v>16.5</v>
      </c>
      <c r="J377">
        <v>17</v>
      </c>
    </row>
    <row r="378" spans="1:10" x14ac:dyDescent="0.25">
      <c r="A378" t="s">
        <v>386</v>
      </c>
      <c r="B378" t="s">
        <v>587</v>
      </c>
      <c r="C378" t="s">
        <v>974</v>
      </c>
      <c r="D378" t="s">
        <v>1154</v>
      </c>
      <c r="E378">
        <v>2</v>
      </c>
      <c r="F378">
        <v>4</v>
      </c>
      <c r="G378" t="s">
        <v>1166</v>
      </c>
      <c r="H378" t="s">
        <v>1032</v>
      </c>
      <c r="I378">
        <v>10.7</v>
      </c>
      <c r="J378">
        <v>26</v>
      </c>
    </row>
    <row r="379" spans="1:10" x14ac:dyDescent="0.25">
      <c r="A379" t="s">
        <v>387</v>
      </c>
      <c r="B379" t="s">
        <v>587</v>
      </c>
      <c r="C379" t="s">
        <v>975</v>
      </c>
      <c r="D379" t="s">
        <v>1154</v>
      </c>
      <c r="E379">
        <v>4</v>
      </c>
      <c r="F379">
        <v>8</v>
      </c>
      <c r="G379" t="s">
        <v>1166</v>
      </c>
      <c r="H379" t="s">
        <v>1032</v>
      </c>
      <c r="I379">
        <v>15.1</v>
      </c>
      <c r="J379">
        <v>19</v>
      </c>
    </row>
    <row r="380" spans="1:10" x14ac:dyDescent="0.25">
      <c r="A380" t="s">
        <v>388</v>
      </c>
      <c r="B380" t="s">
        <v>587</v>
      </c>
      <c r="C380" t="s">
        <v>976</v>
      </c>
      <c r="D380" t="s">
        <v>1154</v>
      </c>
      <c r="E380">
        <v>4</v>
      </c>
      <c r="F380">
        <v>8</v>
      </c>
      <c r="G380" t="s">
        <v>1166</v>
      </c>
      <c r="H380" t="s">
        <v>1032</v>
      </c>
      <c r="I380">
        <v>15.1</v>
      </c>
      <c r="J380">
        <v>19</v>
      </c>
    </row>
    <row r="381" spans="1:10" x14ac:dyDescent="0.25">
      <c r="A381" t="s">
        <v>389</v>
      </c>
      <c r="B381" t="s">
        <v>587</v>
      </c>
      <c r="C381" t="s">
        <v>977</v>
      </c>
      <c r="D381" t="s">
        <v>1152</v>
      </c>
      <c r="E381">
        <v>2</v>
      </c>
      <c r="F381">
        <v>4</v>
      </c>
      <c r="G381" t="s">
        <v>1166</v>
      </c>
      <c r="H381" t="s">
        <v>1032</v>
      </c>
      <c r="I381">
        <v>8.6999999999999993</v>
      </c>
      <c r="J381">
        <v>32</v>
      </c>
    </row>
    <row r="382" spans="1:10" x14ac:dyDescent="0.25">
      <c r="A382" t="s">
        <v>390</v>
      </c>
      <c r="B382" t="s">
        <v>587</v>
      </c>
      <c r="C382" t="s">
        <v>978</v>
      </c>
      <c r="D382" t="s">
        <v>1152</v>
      </c>
      <c r="E382">
        <v>2</v>
      </c>
      <c r="F382">
        <v>4</v>
      </c>
      <c r="G382" t="s">
        <v>1173</v>
      </c>
      <c r="H382" t="s">
        <v>1032</v>
      </c>
      <c r="I382">
        <v>8.1999999999999993</v>
      </c>
      <c r="J382">
        <v>34</v>
      </c>
    </row>
    <row r="383" spans="1:10" x14ac:dyDescent="0.25">
      <c r="A383" t="s">
        <v>391</v>
      </c>
      <c r="B383" t="s">
        <v>587</v>
      </c>
      <c r="C383" t="s">
        <v>979</v>
      </c>
      <c r="D383" t="s">
        <v>1156</v>
      </c>
      <c r="E383">
        <v>2</v>
      </c>
      <c r="F383">
        <v>4</v>
      </c>
      <c r="G383" t="s">
        <v>1166</v>
      </c>
      <c r="H383" t="s">
        <v>1032</v>
      </c>
      <c r="I383">
        <v>9.1</v>
      </c>
      <c r="J383">
        <v>31</v>
      </c>
    </row>
    <row r="384" spans="1:10" x14ac:dyDescent="0.25">
      <c r="A384" t="s">
        <v>392</v>
      </c>
      <c r="B384" t="s">
        <v>587</v>
      </c>
      <c r="C384" t="s">
        <v>980</v>
      </c>
      <c r="D384" t="s">
        <v>1156</v>
      </c>
      <c r="E384">
        <v>2</v>
      </c>
      <c r="F384">
        <v>4</v>
      </c>
      <c r="G384" t="s">
        <v>1166</v>
      </c>
      <c r="H384" t="s">
        <v>1032</v>
      </c>
      <c r="I384">
        <v>8.6</v>
      </c>
      <c r="J384">
        <v>33</v>
      </c>
    </row>
    <row r="385" spans="1:10" x14ac:dyDescent="0.25">
      <c r="A385" t="s">
        <v>393</v>
      </c>
      <c r="B385" t="s">
        <v>587</v>
      </c>
      <c r="C385" t="s">
        <v>981</v>
      </c>
      <c r="D385" t="s">
        <v>1156</v>
      </c>
      <c r="E385">
        <v>3</v>
      </c>
      <c r="F385">
        <v>6</v>
      </c>
      <c r="G385" t="s">
        <v>1166</v>
      </c>
      <c r="H385" t="s">
        <v>1032</v>
      </c>
      <c r="I385">
        <v>8.9</v>
      </c>
      <c r="J385">
        <v>32</v>
      </c>
    </row>
    <row r="386" spans="1:10" x14ac:dyDescent="0.25">
      <c r="A386" t="s">
        <v>394</v>
      </c>
      <c r="B386" t="s">
        <v>587</v>
      </c>
      <c r="C386" t="s">
        <v>982</v>
      </c>
      <c r="D386" t="s">
        <v>1156</v>
      </c>
      <c r="E386">
        <v>3</v>
      </c>
      <c r="F386">
        <v>6</v>
      </c>
      <c r="G386" t="s">
        <v>1166</v>
      </c>
      <c r="H386" t="s">
        <v>1032</v>
      </c>
      <c r="I386">
        <v>9</v>
      </c>
      <c r="J386">
        <v>31</v>
      </c>
    </row>
    <row r="387" spans="1:10" x14ac:dyDescent="0.25">
      <c r="A387" t="s">
        <v>395</v>
      </c>
      <c r="B387" t="s">
        <v>587</v>
      </c>
      <c r="C387" t="s">
        <v>983</v>
      </c>
      <c r="D387" t="s">
        <v>1153</v>
      </c>
      <c r="E387">
        <v>2</v>
      </c>
      <c r="F387">
        <v>4</v>
      </c>
      <c r="G387" t="s">
        <v>1166</v>
      </c>
      <c r="H387" t="s">
        <v>1032</v>
      </c>
      <c r="I387">
        <v>8.6999999999999993</v>
      </c>
      <c r="J387">
        <v>32</v>
      </c>
    </row>
    <row r="388" spans="1:10" x14ac:dyDescent="0.25">
      <c r="A388" t="s">
        <v>396</v>
      </c>
      <c r="B388" t="s">
        <v>587</v>
      </c>
      <c r="C388" t="s">
        <v>984</v>
      </c>
      <c r="D388" t="s">
        <v>1153</v>
      </c>
      <c r="E388">
        <v>3</v>
      </c>
      <c r="F388">
        <v>6</v>
      </c>
      <c r="G388" t="s">
        <v>1166</v>
      </c>
      <c r="H388" t="s">
        <v>1032</v>
      </c>
      <c r="I388">
        <v>9.4</v>
      </c>
      <c r="J388">
        <v>30</v>
      </c>
    </row>
    <row r="389" spans="1:10" x14ac:dyDescent="0.25">
      <c r="A389" t="s">
        <v>397</v>
      </c>
      <c r="B389" t="s">
        <v>587</v>
      </c>
      <c r="C389" t="s">
        <v>985</v>
      </c>
      <c r="D389" t="s">
        <v>1151</v>
      </c>
      <c r="E389">
        <v>3</v>
      </c>
      <c r="F389">
        <v>6</v>
      </c>
      <c r="G389" t="s">
        <v>1166</v>
      </c>
      <c r="H389" t="s">
        <v>1032</v>
      </c>
      <c r="I389">
        <v>13.1</v>
      </c>
      <c r="J389">
        <v>22</v>
      </c>
    </row>
    <row r="390" spans="1:10" x14ac:dyDescent="0.25">
      <c r="A390" t="s">
        <v>398</v>
      </c>
      <c r="B390" t="s">
        <v>587</v>
      </c>
      <c r="C390" t="s">
        <v>986</v>
      </c>
      <c r="D390" t="s">
        <v>1150</v>
      </c>
      <c r="E390">
        <v>2</v>
      </c>
      <c r="F390">
        <v>4</v>
      </c>
      <c r="G390" t="s">
        <v>1173</v>
      </c>
      <c r="H390" t="s">
        <v>1032</v>
      </c>
      <c r="I390">
        <v>8.4</v>
      </c>
      <c r="J390">
        <v>34</v>
      </c>
    </row>
    <row r="391" spans="1:10" x14ac:dyDescent="0.25">
      <c r="A391" t="s">
        <v>399</v>
      </c>
      <c r="B391" t="s">
        <v>587</v>
      </c>
      <c r="C391" t="s">
        <v>987</v>
      </c>
      <c r="D391" t="s">
        <v>1150</v>
      </c>
      <c r="E391">
        <v>2</v>
      </c>
      <c r="F391">
        <v>4</v>
      </c>
      <c r="G391" t="s">
        <v>1173</v>
      </c>
      <c r="H391" t="s">
        <v>1032</v>
      </c>
      <c r="I391">
        <v>8.6</v>
      </c>
      <c r="J391">
        <v>33</v>
      </c>
    </row>
    <row r="392" spans="1:10" x14ac:dyDescent="0.25">
      <c r="A392" t="s">
        <v>400</v>
      </c>
      <c r="B392" t="s">
        <v>587</v>
      </c>
      <c r="C392" t="s">
        <v>988</v>
      </c>
      <c r="D392" t="s">
        <v>1150</v>
      </c>
      <c r="E392">
        <v>2</v>
      </c>
      <c r="F392">
        <v>4</v>
      </c>
      <c r="G392" t="s">
        <v>1166</v>
      </c>
      <c r="H392" t="s">
        <v>1032</v>
      </c>
      <c r="I392">
        <v>8.9</v>
      </c>
      <c r="J392">
        <v>32</v>
      </c>
    </row>
    <row r="393" spans="1:10" x14ac:dyDescent="0.25">
      <c r="A393" t="s">
        <v>401</v>
      </c>
      <c r="B393" t="s">
        <v>587</v>
      </c>
      <c r="C393" t="s">
        <v>989</v>
      </c>
      <c r="D393" t="s">
        <v>1150</v>
      </c>
      <c r="E393">
        <v>2</v>
      </c>
      <c r="F393">
        <v>4</v>
      </c>
      <c r="G393" t="s">
        <v>1166</v>
      </c>
      <c r="H393" t="s">
        <v>1032</v>
      </c>
      <c r="I393">
        <v>9</v>
      </c>
      <c r="J393">
        <v>31</v>
      </c>
    </row>
    <row r="394" spans="1:10" x14ac:dyDescent="0.25">
      <c r="A394" t="s">
        <v>402</v>
      </c>
      <c r="B394" t="s">
        <v>587</v>
      </c>
      <c r="C394" t="s">
        <v>990</v>
      </c>
      <c r="D394" t="s">
        <v>1151</v>
      </c>
      <c r="E394">
        <v>2</v>
      </c>
      <c r="F394">
        <v>4</v>
      </c>
      <c r="G394" t="s">
        <v>1166</v>
      </c>
      <c r="H394" t="s">
        <v>1032</v>
      </c>
      <c r="I394">
        <v>10.8</v>
      </c>
      <c r="J394">
        <v>26</v>
      </c>
    </row>
    <row r="395" spans="1:10" x14ac:dyDescent="0.25">
      <c r="A395" t="s">
        <v>403</v>
      </c>
      <c r="B395" t="s">
        <v>587</v>
      </c>
      <c r="C395" t="s">
        <v>991</v>
      </c>
      <c r="D395" t="s">
        <v>1151</v>
      </c>
      <c r="E395">
        <v>3</v>
      </c>
      <c r="F395">
        <v>6</v>
      </c>
      <c r="G395" t="s">
        <v>1166</v>
      </c>
      <c r="H395" t="s">
        <v>1032</v>
      </c>
      <c r="I395">
        <v>11.2</v>
      </c>
      <c r="J395">
        <v>25</v>
      </c>
    </row>
    <row r="396" spans="1:10" x14ac:dyDescent="0.25">
      <c r="A396" t="s">
        <v>404</v>
      </c>
      <c r="B396" t="s">
        <v>587</v>
      </c>
      <c r="C396" t="s">
        <v>992</v>
      </c>
      <c r="D396" t="s">
        <v>1151</v>
      </c>
      <c r="E396">
        <v>3</v>
      </c>
      <c r="F396">
        <v>6</v>
      </c>
      <c r="G396" t="s">
        <v>1166</v>
      </c>
      <c r="H396" t="s">
        <v>1032</v>
      </c>
      <c r="I396">
        <v>11.2</v>
      </c>
      <c r="J396">
        <v>25</v>
      </c>
    </row>
    <row r="397" spans="1:10" x14ac:dyDescent="0.25">
      <c r="A397" t="s">
        <v>405</v>
      </c>
      <c r="B397" t="s">
        <v>587</v>
      </c>
      <c r="C397" t="s">
        <v>993</v>
      </c>
      <c r="D397" t="s">
        <v>1151</v>
      </c>
      <c r="E397">
        <v>3</v>
      </c>
      <c r="F397">
        <v>6</v>
      </c>
      <c r="G397" t="s">
        <v>1166</v>
      </c>
      <c r="H397" t="s">
        <v>1032</v>
      </c>
      <c r="I397">
        <v>11.3</v>
      </c>
      <c r="J397">
        <v>25</v>
      </c>
    </row>
    <row r="398" spans="1:10" x14ac:dyDescent="0.25">
      <c r="A398" t="s">
        <v>406</v>
      </c>
      <c r="B398" t="s">
        <v>587</v>
      </c>
      <c r="C398" t="s">
        <v>994</v>
      </c>
      <c r="D398" t="s">
        <v>1151</v>
      </c>
      <c r="E398">
        <v>4</v>
      </c>
      <c r="F398">
        <v>8</v>
      </c>
      <c r="G398" t="s">
        <v>1166</v>
      </c>
      <c r="H398" t="s">
        <v>1032</v>
      </c>
      <c r="I398">
        <v>14.6</v>
      </c>
      <c r="J398">
        <v>19</v>
      </c>
    </row>
    <row r="399" spans="1:10" x14ac:dyDescent="0.25">
      <c r="A399" t="s">
        <v>407</v>
      </c>
      <c r="B399" t="s">
        <v>587</v>
      </c>
      <c r="C399" t="s">
        <v>995</v>
      </c>
      <c r="D399" t="s">
        <v>1151</v>
      </c>
      <c r="E399">
        <v>4</v>
      </c>
      <c r="F399">
        <v>8</v>
      </c>
      <c r="G399" t="s">
        <v>1166</v>
      </c>
      <c r="H399" t="s">
        <v>1032</v>
      </c>
      <c r="I399">
        <v>15.6</v>
      </c>
      <c r="J399">
        <v>18</v>
      </c>
    </row>
    <row r="400" spans="1:10" x14ac:dyDescent="0.25">
      <c r="A400" t="s">
        <v>408</v>
      </c>
      <c r="B400" t="s">
        <v>587</v>
      </c>
      <c r="C400" t="s">
        <v>996</v>
      </c>
      <c r="D400" t="s">
        <v>1149</v>
      </c>
      <c r="E400">
        <v>4</v>
      </c>
      <c r="F400">
        <v>8</v>
      </c>
      <c r="G400" t="s">
        <v>1166</v>
      </c>
      <c r="H400" t="s">
        <v>1032</v>
      </c>
      <c r="I400">
        <v>12</v>
      </c>
      <c r="J400">
        <v>24</v>
      </c>
    </row>
    <row r="401" spans="1:10" x14ac:dyDescent="0.25">
      <c r="A401" t="s">
        <v>409</v>
      </c>
      <c r="B401" t="s">
        <v>587</v>
      </c>
      <c r="C401" t="s">
        <v>997</v>
      </c>
      <c r="D401" t="s">
        <v>1149</v>
      </c>
      <c r="E401">
        <v>6</v>
      </c>
      <c r="F401">
        <v>12</v>
      </c>
      <c r="G401" t="s">
        <v>1166</v>
      </c>
      <c r="H401" t="s">
        <v>1032</v>
      </c>
      <c r="I401">
        <v>16.100000000000001</v>
      </c>
      <c r="J401">
        <v>18</v>
      </c>
    </row>
    <row r="402" spans="1:10" x14ac:dyDescent="0.25">
      <c r="A402" t="s">
        <v>410</v>
      </c>
      <c r="B402" t="s">
        <v>587</v>
      </c>
      <c r="C402" t="s">
        <v>998</v>
      </c>
      <c r="D402" t="s">
        <v>1149</v>
      </c>
      <c r="E402">
        <v>3</v>
      </c>
      <c r="F402">
        <v>6</v>
      </c>
      <c r="G402" t="s">
        <v>1166</v>
      </c>
      <c r="H402" t="s">
        <v>1032</v>
      </c>
      <c r="I402">
        <v>9.6</v>
      </c>
      <c r="J402">
        <v>29</v>
      </c>
    </row>
    <row r="403" spans="1:10" x14ac:dyDescent="0.25">
      <c r="A403" t="s">
        <v>411</v>
      </c>
      <c r="B403" t="s">
        <v>587</v>
      </c>
      <c r="C403" t="s">
        <v>999</v>
      </c>
      <c r="D403" t="s">
        <v>1149</v>
      </c>
      <c r="E403">
        <v>4</v>
      </c>
      <c r="F403">
        <v>8</v>
      </c>
      <c r="G403" t="s">
        <v>1166</v>
      </c>
      <c r="H403" t="s">
        <v>1032</v>
      </c>
      <c r="I403">
        <v>12</v>
      </c>
      <c r="J403">
        <v>24</v>
      </c>
    </row>
    <row r="404" spans="1:10" x14ac:dyDescent="0.25">
      <c r="A404" t="s">
        <v>412</v>
      </c>
      <c r="B404" t="s">
        <v>588</v>
      </c>
      <c r="C404" t="s">
        <v>1000</v>
      </c>
      <c r="D404" t="s">
        <v>1156</v>
      </c>
      <c r="E404">
        <v>2</v>
      </c>
      <c r="F404">
        <v>4</v>
      </c>
      <c r="G404" t="s">
        <v>1167</v>
      </c>
      <c r="H404" t="s">
        <v>1032</v>
      </c>
      <c r="I404">
        <v>7.4</v>
      </c>
      <c r="J404">
        <v>38</v>
      </c>
    </row>
    <row r="405" spans="1:10" x14ac:dyDescent="0.25">
      <c r="A405" t="s">
        <v>413</v>
      </c>
      <c r="B405" t="s">
        <v>588</v>
      </c>
      <c r="C405" t="s">
        <v>1001</v>
      </c>
      <c r="D405" t="s">
        <v>1152</v>
      </c>
      <c r="E405">
        <v>2</v>
      </c>
      <c r="F405">
        <v>4</v>
      </c>
      <c r="G405" t="s">
        <v>1167</v>
      </c>
      <c r="H405" t="s">
        <v>1032</v>
      </c>
      <c r="I405">
        <v>7.4</v>
      </c>
      <c r="J405">
        <v>38</v>
      </c>
    </row>
    <row r="406" spans="1:10" x14ac:dyDescent="0.25">
      <c r="A406" t="s">
        <v>414</v>
      </c>
      <c r="B406" t="s">
        <v>588</v>
      </c>
      <c r="C406" t="s">
        <v>1002</v>
      </c>
      <c r="D406" t="s">
        <v>1154</v>
      </c>
      <c r="E406">
        <v>2</v>
      </c>
      <c r="F406">
        <v>4</v>
      </c>
      <c r="G406" t="s">
        <v>1167</v>
      </c>
      <c r="H406" t="s">
        <v>1032</v>
      </c>
      <c r="I406">
        <v>7.7</v>
      </c>
      <c r="J406">
        <v>37</v>
      </c>
    </row>
    <row r="407" spans="1:10" x14ac:dyDescent="0.25">
      <c r="A407" t="s">
        <v>415</v>
      </c>
      <c r="B407" t="s">
        <v>588</v>
      </c>
      <c r="C407" t="s">
        <v>1003</v>
      </c>
      <c r="D407" t="s">
        <v>1156</v>
      </c>
      <c r="E407">
        <v>2</v>
      </c>
      <c r="F407">
        <v>4</v>
      </c>
      <c r="G407" t="s">
        <v>1167</v>
      </c>
      <c r="H407" t="s">
        <v>1032</v>
      </c>
      <c r="I407">
        <v>7.4</v>
      </c>
      <c r="J407">
        <v>38</v>
      </c>
    </row>
    <row r="408" spans="1:10" x14ac:dyDescent="0.25">
      <c r="A408" t="s">
        <v>416</v>
      </c>
      <c r="B408" t="s">
        <v>588</v>
      </c>
      <c r="C408" t="s">
        <v>1004</v>
      </c>
      <c r="D408" t="s">
        <v>1152</v>
      </c>
      <c r="E408">
        <v>2</v>
      </c>
      <c r="F408">
        <v>4</v>
      </c>
      <c r="G408" t="s">
        <v>1167</v>
      </c>
      <c r="H408" t="s">
        <v>1032</v>
      </c>
      <c r="I408">
        <v>7.3</v>
      </c>
      <c r="J408">
        <v>39</v>
      </c>
    </row>
    <row r="409" spans="1:10" x14ac:dyDescent="0.25">
      <c r="A409" t="s">
        <v>417</v>
      </c>
      <c r="B409" t="s">
        <v>588</v>
      </c>
      <c r="C409" t="s">
        <v>1005</v>
      </c>
      <c r="D409" t="s">
        <v>1154</v>
      </c>
      <c r="E409">
        <v>2</v>
      </c>
      <c r="F409">
        <v>4</v>
      </c>
      <c r="G409" t="s">
        <v>1167</v>
      </c>
      <c r="H409" t="s">
        <v>1032</v>
      </c>
      <c r="I409">
        <v>7.9</v>
      </c>
      <c r="J409">
        <v>36</v>
      </c>
    </row>
    <row r="410" spans="1:10" x14ac:dyDescent="0.25">
      <c r="A410" t="s">
        <v>418</v>
      </c>
      <c r="B410" t="s">
        <v>588</v>
      </c>
      <c r="C410" t="s">
        <v>1006</v>
      </c>
      <c r="D410" t="s">
        <v>1150</v>
      </c>
      <c r="E410">
        <v>2</v>
      </c>
      <c r="F410">
        <v>4</v>
      </c>
      <c r="G410" t="s">
        <v>1167</v>
      </c>
      <c r="H410" t="s">
        <v>1032</v>
      </c>
      <c r="I410">
        <v>8.6999999999999993</v>
      </c>
      <c r="J410">
        <v>32</v>
      </c>
    </row>
    <row r="411" spans="1:10" x14ac:dyDescent="0.25">
      <c r="A411" t="s">
        <v>419</v>
      </c>
      <c r="B411" t="s">
        <v>588</v>
      </c>
      <c r="C411" t="s">
        <v>1007</v>
      </c>
      <c r="D411" t="s">
        <v>1156</v>
      </c>
      <c r="E411">
        <v>2</v>
      </c>
      <c r="F411">
        <v>4</v>
      </c>
      <c r="G411" t="s">
        <v>1167</v>
      </c>
      <c r="H411" t="s">
        <v>1032</v>
      </c>
      <c r="I411">
        <v>7.7</v>
      </c>
      <c r="J411">
        <v>37</v>
      </c>
    </row>
    <row r="412" spans="1:10" x14ac:dyDescent="0.25">
      <c r="A412" t="s">
        <v>420</v>
      </c>
      <c r="B412" t="s">
        <v>588</v>
      </c>
      <c r="C412" t="s">
        <v>1008</v>
      </c>
      <c r="D412" t="s">
        <v>1154</v>
      </c>
      <c r="E412">
        <v>2</v>
      </c>
      <c r="F412">
        <v>4</v>
      </c>
      <c r="G412" t="s">
        <v>1167</v>
      </c>
      <c r="H412" t="s">
        <v>1032</v>
      </c>
      <c r="I412">
        <v>7.9</v>
      </c>
      <c r="J412">
        <v>36</v>
      </c>
    </row>
    <row r="413" spans="1:10" x14ac:dyDescent="0.25">
      <c r="A413" t="s">
        <v>421</v>
      </c>
      <c r="B413" t="s">
        <v>588</v>
      </c>
      <c r="C413" t="s">
        <v>1009</v>
      </c>
      <c r="D413" t="s">
        <v>1150</v>
      </c>
      <c r="E413">
        <v>2</v>
      </c>
      <c r="F413">
        <v>4</v>
      </c>
      <c r="G413" t="s">
        <v>1167</v>
      </c>
      <c r="H413" t="s">
        <v>1032</v>
      </c>
      <c r="I413">
        <v>9.1999999999999993</v>
      </c>
      <c r="J413">
        <v>31</v>
      </c>
    </row>
    <row r="414" spans="1:10" x14ac:dyDescent="0.25">
      <c r="A414" t="s">
        <v>422</v>
      </c>
      <c r="B414" t="s">
        <v>589</v>
      </c>
      <c r="C414" t="s">
        <v>1010</v>
      </c>
      <c r="D414" t="s">
        <v>1150</v>
      </c>
      <c r="E414">
        <v>1.5</v>
      </c>
      <c r="F414">
        <v>4</v>
      </c>
      <c r="G414" t="s">
        <v>1176</v>
      </c>
      <c r="H414" t="s">
        <v>1180</v>
      </c>
      <c r="I414">
        <v>9.3000000000000007</v>
      </c>
      <c r="J414">
        <v>30</v>
      </c>
    </row>
    <row r="415" spans="1:10" x14ac:dyDescent="0.25">
      <c r="A415" t="s">
        <v>423</v>
      </c>
      <c r="B415" t="s">
        <v>589</v>
      </c>
      <c r="C415" t="s">
        <v>1011</v>
      </c>
      <c r="D415" t="s">
        <v>1150</v>
      </c>
      <c r="E415">
        <v>2.5</v>
      </c>
      <c r="F415">
        <v>4</v>
      </c>
      <c r="G415" t="s">
        <v>1176</v>
      </c>
      <c r="H415" t="s">
        <v>1180</v>
      </c>
      <c r="I415">
        <v>8.8000000000000007</v>
      </c>
      <c r="J415">
        <v>32</v>
      </c>
    </row>
    <row r="416" spans="1:10" x14ac:dyDescent="0.25">
      <c r="A416" t="s">
        <v>424</v>
      </c>
      <c r="B416" t="s">
        <v>589</v>
      </c>
      <c r="C416" t="s">
        <v>1012</v>
      </c>
      <c r="D416" t="s">
        <v>1150</v>
      </c>
      <c r="E416">
        <v>2</v>
      </c>
      <c r="F416">
        <v>4</v>
      </c>
      <c r="G416" t="s">
        <v>1178</v>
      </c>
      <c r="H416" t="s">
        <v>1180</v>
      </c>
      <c r="I416">
        <v>8.9</v>
      </c>
      <c r="J416">
        <v>32</v>
      </c>
    </row>
    <row r="417" spans="1:10" x14ac:dyDescent="0.25">
      <c r="A417" t="s">
        <v>425</v>
      </c>
      <c r="B417" t="s">
        <v>589</v>
      </c>
      <c r="C417" t="s">
        <v>1013</v>
      </c>
      <c r="D417" t="s">
        <v>1150</v>
      </c>
      <c r="E417">
        <v>2</v>
      </c>
      <c r="F417">
        <v>4</v>
      </c>
      <c r="G417" t="s">
        <v>1178</v>
      </c>
      <c r="H417" t="s">
        <v>1180</v>
      </c>
      <c r="I417">
        <v>9.1</v>
      </c>
      <c r="J417">
        <v>31</v>
      </c>
    </row>
    <row r="418" spans="1:10" x14ac:dyDescent="0.25">
      <c r="A418" t="s">
        <v>426</v>
      </c>
      <c r="B418" t="s">
        <v>590</v>
      </c>
      <c r="C418" t="s">
        <v>1014</v>
      </c>
      <c r="D418" t="s">
        <v>1153</v>
      </c>
      <c r="E418">
        <v>2.5</v>
      </c>
      <c r="F418">
        <v>4</v>
      </c>
      <c r="G418" t="s">
        <v>1169</v>
      </c>
      <c r="H418" t="s">
        <v>1180</v>
      </c>
      <c r="I418">
        <v>8.1999999999999993</v>
      </c>
      <c r="J418">
        <v>34</v>
      </c>
    </row>
    <row r="419" spans="1:10" x14ac:dyDescent="0.25">
      <c r="A419" t="s">
        <v>427</v>
      </c>
      <c r="B419" t="s">
        <v>590</v>
      </c>
      <c r="C419" t="s">
        <v>1015</v>
      </c>
      <c r="D419" t="s">
        <v>1153</v>
      </c>
      <c r="E419">
        <v>2.5</v>
      </c>
      <c r="F419">
        <v>4</v>
      </c>
      <c r="G419" t="s">
        <v>1176</v>
      </c>
      <c r="H419" t="s">
        <v>1180</v>
      </c>
      <c r="I419">
        <v>8.4</v>
      </c>
      <c r="J419">
        <v>34</v>
      </c>
    </row>
    <row r="420" spans="1:10" x14ac:dyDescent="0.25">
      <c r="A420" t="s">
        <v>428</v>
      </c>
      <c r="B420" t="s">
        <v>590</v>
      </c>
      <c r="C420" t="s">
        <v>1016</v>
      </c>
      <c r="D420" t="s">
        <v>1151</v>
      </c>
      <c r="E420">
        <v>3.5</v>
      </c>
      <c r="F420">
        <v>6</v>
      </c>
      <c r="G420" t="s">
        <v>1170</v>
      </c>
      <c r="H420" t="s">
        <v>1032</v>
      </c>
      <c r="I420">
        <v>13.7</v>
      </c>
      <c r="J420">
        <v>21</v>
      </c>
    </row>
    <row r="421" spans="1:10" x14ac:dyDescent="0.25">
      <c r="A421" t="s">
        <v>429</v>
      </c>
      <c r="B421" t="s">
        <v>590</v>
      </c>
      <c r="C421" t="s">
        <v>1017</v>
      </c>
      <c r="D421" t="s">
        <v>1151</v>
      </c>
      <c r="E421">
        <v>3.5</v>
      </c>
      <c r="F421">
        <v>6</v>
      </c>
      <c r="G421" t="s">
        <v>1170</v>
      </c>
      <c r="H421" t="s">
        <v>1032</v>
      </c>
      <c r="I421">
        <v>14.4</v>
      </c>
      <c r="J421">
        <v>20</v>
      </c>
    </row>
    <row r="422" spans="1:10" x14ac:dyDescent="0.25">
      <c r="A422" t="s">
        <v>430</v>
      </c>
      <c r="B422" t="s">
        <v>590</v>
      </c>
      <c r="C422" t="s">
        <v>1018</v>
      </c>
      <c r="D422" t="s">
        <v>1159</v>
      </c>
      <c r="E422">
        <v>3.8</v>
      </c>
      <c r="F422">
        <v>6</v>
      </c>
      <c r="G422" t="s">
        <v>1170</v>
      </c>
      <c r="H422" t="s">
        <v>1180</v>
      </c>
      <c r="I422">
        <v>11.6</v>
      </c>
      <c r="J422">
        <v>24</v>
      </c>
    </row>
    <row r="423" spans="1:10" x14ac:dyDescent="0.25">
      <c r="A423" t="s">
        <v>431</v>
      </c>
      <c r="B423" t="s">
        <v>590</v>
      </c>
      <c r="C423" t="s">
        <v>1019</v>
      </c>
      <c r="D423" t="s">
        <v>1159</v>
      </c>
      <c r="E423">
        <v>3.8</v>
      </c>
      <c r="F423">
        <v>6</v>
      </c>
      <c r="G423" t="s">
        <v>1170</v>
      </c>
      <c r="H423" t="s">
        <v>1180</v>
      </c>
      <c r="I423">
        <v>12.3</v>
      </c>
      <c r="J423">
        <v>23</v>
      </c>
    </row>
    <row r="424" spans="1:10" x14ac:dyDescent="0.25">
      <c r="A424" t="s">
        <v>432</v>
      </c>
      <c r="B424" t="s">
        <v>590</v>
      </c>
      <c r="C424" t="s">
        <v>1020</v>
      </c>
      <c r="D424" t="s">
        <v>1159</v>
      </c>
      <c r="E424">
        <v>3.8</v>
      </c>
      <c r="F424">
        <v>6</v>
      </c>
      <c r="G424" t="s">
        <v>1170</v>
      </c>
      <c r="H424" t="s">
        <v>1180</v>
      </c>
      <c r="I424">
        <v>12.7</v>
      </c>
      <c r="J424">
        <v>22</v>
      </c>
    </row>
    <row r="425" spans="1:10" x14ac:dyDescent="0.25">
      <c r="A425" t="s">
        <v>433</v>
      </c>
      <c r="B425" t="s">
        <v>590</v>
      </c>
      <c r="C425" t="s">
        <v>1021</v>
      </c>
      <c r="D425" t="s">
        <v>1150</v>
      </c>
      <c r="E425">
        <v>2</v>
      </c>
      <c r="F425">
        <v>4</v>
      </c>
      <c r="G425" t="s">
        <v>1169</v>
      </c>
      <c r="H425" t="s">
        <v>1180</v>
      </c>
      <c r="I425">
        <v>7.4</v>
      </c>
      <c r="J425">
        <v>38</v>
      </c>
    </row>
    <row r="426" spans="1:10" x14ac:dyDescent="0.25">
      <c r="A426" t="s">
        <v>434</v>
      </c>
      <c r="B426" t="s">
        <v>590</v>
      </c>
      <c r="C426" t="s">
        <v>1022</v>
      </c>
      <c r="D426" t="s">
        <v>1150</v>
      </c>
      <c r="E426">
        <v>2</v>
      </c>
      <c r="F426">
        <v>4</v>
      </c>
      <c r="G426" t="s">
        <v>1169</v>
      </c>
      <c r="H426" t="s">
        <v>1180</v>
      </c>
      <c r="I426">
        <v>7.7</v>
      </c>
      <c r="J426">
        <v>37</v>
      </c>
    </row>
    <row r="427" spans="1:10" x14ac:dyDescent="0.25">
      <c r="A427" t="s">
        <v>435</v>
      </c>
      <c r="B427" t="s">
        <v>590</v>
      </c>
      <c r="C427" t="s">
        <v>1023</v>
      </c>
      <c r="D427" t="s">
        <v>1153</v>
      </c>
      <c r="E427">
        <v>1.6</v>
      </c>
      <c r="F427">
        <v>4</v>
      </c>
      <c r="G427" t="s">
        <v>1169</v>
      </c>
      <c r="H427" t="s">
        <v>1180</v>
      </c>
      <c r="I427">
        <v>7.2</v>
      </c>
      <c r="J427">
        <v>39</v>
      </c>
    </row>
    <row r="428" spans="1:10" x14ac:dyDescent="0.25">
      <c r="A428" t="s">
        <v>436</v>
      </c>
      <c r="B428" t="s">
        <v>590</v>
      </c>
      <c r="C428" t="s">
        <v>1024</v>
      </c>
      <c r="D428" t="s">
        <v>1150</v>
      </c>
      <c r="E428">
        <v>2</v>
      </c>
      <c r="F428">
        <v>4</v>
      </c>
      <c r="G428" t="s">
        <v>1170</v>
      </c>
      <c r="H428" t="s">
        <v>1180</v>
      </c>
      <c r="I428">
        <v>9.6999999999999993</v>
      </c>
      <c r="J428">
        <v>29</v>
      </c>
    </row>
    <row r="429" spans="1:10" x14ac:dyDescent="0.25">
      <c r="A429" t="s">
        <v>437</v>
      </c>
      <c r="B429" t="s">
        <v>590</v>
      </c>
      <c r="C429" t="s">
        <v>1025</v>
      </c>
      <c r="D429" t="s">
        <v>1150</v>
      </c>
      <c r="E429">
        <v>3.5</v>
      </c>
      <c r="F429">
        <v>6</v>
      </c>
      <c r="G429" t="s">
        <v>1170</v>
      </c>
      <c r="H429" t="s">
        <v>1180</v>
      </c>
      <c r="I429">
        <v>10.6</v>
      </c>
      <c r="J429">
        <v>27</v>
      </c>
    </row>
    <row r="430" spans="1:10" x14ac:dyDescent="0.25">
      <c r="A430" t="s">
        <v>438</v>
      </c>
      <c r="B430" t="s">
        <v>590</v>
      </c>
      <c r="C430" t="s">
        <v>1026</v>
      </c>
      <c r="D430" t="s">
        <v>1151</v>
      </c>
      <c r="E430">
        <v>3.5</v>
      </c>
      <c r="F430">
        <v>6</v>
      </c>
      <c r="G430" t="s">
        <v>1170</v>
      </c>
      <c r="H430" t="s">
        <v>1032</v>
      </c>
      <c r="I430">
        <v>11.1</v>
      </c>
      <c r="J430">
        <v>25</v>
      </c>
    </row>
    <row r="431" spans="1:10" x14ac:dyDescent="0.25">
      <c r="A431" t="s">
        <v>439</v>
      </c>
      <c r="B431" t="s">
        <v>590</v>
      </c>
      <c r="C431" t="s">
        <v>1027</v>
      </c>
      <c r="D431" t="s">
        <v>1150</v>
      </c>
      <c r="E431">
        <v>1.5</v>
      </c>
      <c r="F431">
        <v>3</v>
      </c>
      <c r="G431" t="s">
        <v>1176</v>
      </c>
      <c r="H431" t="s">
        <v>1180</v>
      </c>
      <c r="I431">
        <v>7.2</v>
      </c>
      <c r="J431">
        <v>39</v>
      </c>
    </row>
    <row r="432" spans="1:10" x14ac:dyDescent="0.25">
      <c r="A432" t="s">
        <v>440</v>
      </c>
      <c r="B432" t="s">
        <v>590</v>
      </c>
      <c r="C432" t="s">
        <v>1028</v>
      </c>
      <c r="D432" t="s">
        <v>1150</v>
      </c>
      <c r="E432">
        <v>1.5</v>
      </c>
      <c r="F432">
        <v>3</v>
      </c>
      <c r="G432" t="s">
        <v>1176</v>
      </c>
      <c r="H432" t="s">
        <v>1180</v>
      </c>
      <c r="I432">
        <v>7.6</v>
      </c>
      <c r="J432">
        <v>37</v>
      </c>
    </row>
    <row r="433" spans="1:10" x14ac:dyDescent="0.25">
      <c r="A433" t="s">
        <v>441</v>
      </c>
      <c r="B433" t="s">
        <v>590</v>
      </c>
      <c r="C433" t="s">
        <v>1029</v>
      </c>
      <c r="D433" t="s">
        <v>1153</v>
      </c>
      <c r="E433">
        <v>2</v>
      </c>
      <c r="F433">
        <v>4</v>
      </c>
      <c r="G433" t="s">
        <v>1169</v>
      </c>
      <c r="H433" t="s">
        <v>1180</v>
      </c>
      <c r="I433">
        <v>6.6</v>
      </c>
      <c r="J433">
        <v>43</v>
      </c>
    </row>
    <row r="434" spans="1:10" x14ac:dyDescent="0.25">
      <c r="A434" t="s">
        <v>442</v>
      </c>
      <c r="B434" t="s">
        <v>590</v>
      </c>
      <c r="C434" t="s">
        <v>1030</v>
      </c>
      <c r="D434" t="s">
        <v>1153</v>
      </c>
      <c r="E434">
        <v>2</v>
      </c>
      <c r="F434">
        <v>4</v>
      </c>
      <c r="G434" t="s">
        <v>1169</v>
      </c>
      <c r="H434" t="s">
        <v>1180</v>
      </c>
      <c r="I434">
        <v>6.9</v>
      </c>
      <c r="J434">
        <v>41</v>
      </c>
    </row>
    <row r="435" spans="1:10" x14ac:dyDescent="0.25">
      <c r="A435" t="s">
        <v>443</v>
      </c>
      <c r="B435" t="s">
        <v>590</v>
      </c>
      <c r="C435" t="s">
        <v>1031</v>
      </c>
      <c r="D435" t="s">
        <v>1152</v>
      </c>
      <c r="E435">
        <v>1.6</v>
      </c>
      <c r="F435">
        <v>4</v>
      </c>
      <c r="G435" t="s">
        <v>1169</v>
      </c>
      <c r="H435" t="s">
        <v>1180</v>
      </c>
      <c r="I435">
        <v>6.8</v>
      </c>
      <c r="J435">
        <v>42</v>
      </c>
    </row>
    <row r="436" spans="1:10" x14ac:dyDescent="0.25">
      <c r="A436" t="s">
        <v>444</v>
      </c>
      <c r="B436" t="s">
        <v>590</v>
      </c>
      <c r="C436" t="s">
        <v>1032</v>
      </c>
      <c r="D436" t="s">
        <v>1155</v>
      </c>
      <c r="E436">
        <v>3</v>
      </c>
      <c r="F436">
        <v>6</v>
      </c>
      <c r="G436" t="s">
        <v>1170</v>
      </c>
      <c r="H436" t="s">
        <v>1032</v>
      </c>
      <c r="I436">
        <v>10.6</v>
      </c>
      <c r="J436">
        <v>27</v>
      </c>
    </row>
    <row r="437" spans="1:10" x14ac:dyDescent="0.25">
      <c r="A437" t="s">
        <v>445</v>
      </c>
      <c r="B437" t="s">
        <v>590</v>
      </c>
      <c r="C437" t="s">
        <v>1033</v>
      </c>
      <c r="D437" t="s">
        <v>1155</v>
      </c>
      <c r="E437">
        <v>3</v>
      </c>
      <c r="F437">
        <v>6</v>
      </c>
      <c r="G437" t="s">
        <v>1170</v>
      </c>
      <c r="H437" t="s">
        <v>1032</v>
      </c>
      <c r="I437">
        <v>12.2</v>
      </c>
      <c r="J437">
        <v>23</v>
      </c>
    </row>
    <row r="438" spans="1:10" x14ac:dyDescent="0.25">
      <c r="A438" t="s">
        <v>446</v>
      </c>
      <c r="B438" t="s">
        <v>591</v>
      </c>
      <c r="C438" t="s">
        <v>1034</v>
      </c>
      <c r="D438" t="s">
        <v>1155</v>
      </c>
      <c r="E438">
        <v>2</v>
      </c>
      <c r="F438">
        <v>4</v>
      </c>
      <c r="G438" t="s">
        <v>1167</v>
      </c>
      <c r="H438" t="s">
        <v>1032</v>
      </c>
      <c r="I438">
        <v>10</v>
      </c>
      <c r="J438">
        <v>28</v>
      </c>
    </row>
    <row r="439" spans="1:10" x14ac:dyDescent="0.25">
      <c r="A439" t="s">
        <v>447</v>
      </c>
      <c r="B439" t="s">
        <v>591</v>
      </c>
      <c r="C439" t="s">
        <v>1035</v>
      </c>
      <c r="D439" t="s">
        <v>1155</v>
      </c>
      <c r="E439">
        <v>2.5</v>
      </c>
      <c r="F439">
        <v>4</v>
      </c>
      <c r="G439" t="s">
        <v>1167</v>
      </c>
      <c r="H439" t="s">
        <v>1032</v>
      </c>
      <c r="I439">
        <v>10.9</v>
      </c>
      <c r="J439">
        <v>26</v>
      </c>
    </row>
    <row r="440" spans="1:10" x14ac:dyDescent="0.25">
      <c r="A440" t="s">
        <v>448</v>
      </c>
      <c r="B440" t="s">
        <v>591</v>
      </c>
      <c r="C440" t="s">
        <v>1036</v>
      </c>
      <c r="D440" t="s">
        <v>1155</v>
      </c>
      <c r="E440">
        <v>4</v>
      </c>
      <c r="F440">
        <v>6</v>
      </c>
      <c r="G440" t="s">
        <v>1167</v>
      </c>
      <c r="H440" t="s">
        <v>1032</v>
      </c>
      <c r="I440">
        <v>11.1</v>
      </c>
      <c r="J440">
        <v>25</v>
      </c>
    </row>
    <row r="441" spans="1:10" x14ac:dyDescent="0.25">
      <c r="A441" t="s">
        <v>449</v>
      </c>
      <c r="B441" t="s">
        <v>591</v>
      </c>
      <c r="C441" t="s">
        <v>1037</v>
      </c>
      <c r="D441" t="s">
        <v>1155</v>
      </c>
      <c r="E441">
        <v>2</v>
      </c>
      <c r="F441">
        <v>4</v>
      </c>
      <c r="G441" t="s">
        <v>1167</v>
      </c>
      <c r="H441" t="s">
        <v>1032</v>
      </c>
      <c r="I441">
        <v>10</v>
      </c>
      <c r="J441">
        <v>28</v>
      </c>
    </row>
    <row r="442" spans="1:10" x14ac:dyDescent="0.25">
      <c r="A442" t="s">
        <v>450</v>
      </c>
      <c r="B442" t="s">
        <v>591</v>
      </c>
      <c r="C442" t="s">
        <v>1038</v>
      </c>
      <c r="D442" t="s">
        <v>1155</v>
      </c>
      <c r="E442">
        <v>2.5</v>
      </c>
      <c r="F442">
        <v>4</v>
      </c>
      <c r="G442" t="s">
        <v>1167</v>
      </c>
      <c r="H442" t="s">
        <v>1032</v>
      </c>
      <c r="I442">
        <v>10.9</v>
      </c>
      <c r="J442">
        <v>26</v>
      </c>
    </row>
    <row r="443" spans="1:10" x14ac:dyDescent="0.25">
      <c r="A443" t="s">
        <v>451</v>
      </c>
      <c r="B443" t="s">
        <v>591</v>
      </c>
      <c r="C443" t="s">
        <v>1039</v>
      </c>
      <c r="D443" t="s">
        <v>1155</v>
      </c>
      <c r="E443">
        <v>4</v>
      </c>
      <c r="F443">
        <v>6</v>
      </c>
      <c r="G443" t="s">
        <v>1167</v>
      </c>
      <c r="H443" t="s">
        <v>1032</v>
      </c>
      <c r="I443">
        <v>11.1</v>
      </c>
      <c r="J443">
        <v>25</v>
      </c>
    </row>
    <row r="444" spans="1:10" x14ac:dyDescent="0.25">
      <c r="A444" t="s">
        <v>452</v>
      </c>
      <c r="B444" t="s">
        <v>591</v>
      </c>
      <c r="C444" t="s">
        <v>1040</v>
      </c>
      <c r="D444" t="s">
        <v>1154</v>
      </c>
      <c r="E444">
        <v>3</v>
      </c>
      <c r="F444">
        <v>6</v>
      </c>
      <c r="G444" t="s">
        <v>1173</v>
      </c>
      <c r="H444" t="s">
        <v>1032</v>
      </c>
      <c r="I444">
        <v>11.3</v>
      </c>
      <c r="J444">
        <v>25</v>
      </c>
    </row>
    <row r="445" spans="1:10" x14ac:dyDescent="0.25">
      <c r="A445" t="s">
        <v>453</v>
      </c>
      <c r="B445" t="s">
        <v>591</v>
      </c>
      <c r="C445" t="s">
        <v>1041</v>
      </c>
      <c r="D445" t="s">
        <v>1154</v>
      </c>
      <c r="E445">
        <v>3</v>
      </c>
      <c r="F445">
        <v>6</v>
      </c>
      <c r="G445" t="s">
        <v>1173</v>
      </c>
      <c r="H445" t="s">
        <v>1032</v>
      </c>
      <c r="I445">
        <v>11.4</v>
      </c>
      <c r="J445">
        <v>25</v>
      </c>
    </row>
    <row r="446" spans="1:10" x14ac:dyDescent="0.25">
      <c r="A446" t="s">
        <v>454</v>
      </c>
      <c r="B446" t="s">
        <v>591</v>
      </c>
      <c r="C446" t="s">
        <v>1042</v>
      </c>
      <c r="D446" t="s">
        <v>1155</v>
      </c>
      <c r="E446">
        <v>4</v>
      </c>
      <c r="F446">
        <v>6</v>
      </c>
      <c r="G446" t="s">
        <v>1167</v>
      </c>
      <c r="H446" t="s">
        <v>1032</v>
      </c>
      <c r="I446">
        <v>15.1</v>
      </c>
      <c r="J446">
        <v>19</v>
      </c>
    </row>
    <row r="447" spans="1:10" x14ac:dyDescent="0.25">
      <c r="A447" t="s">
        <v>455</v>
      </c>
      <c r="B447" t="s">
        <v>591</v>
      </c>
      <c r="C447" t="s">
        <v>1043</v>
      </c>
      <c r="D447" t="s">
        <v>1154</v>
      </c>
      <c r="E447">
        <v>3.7</v>
      </c>
      <c r="F447">
        <v>6</v>
      </c>
      <c r="G447" t="s">
        <v>1173</v>
      </c>
      <c r="H447" t="s">
        <v>1032</v>
      </c>
      <c r="I447">
        <v>14.2</v>
      </c>
      <c r="J447">
        <v>20</v>
      </c>
    </row>
    <row r="448" spans="1:10" x14ac:dyDescent="0.25">
      <c r="A448" t="s">
        <v>456</v>
      </c>
      <c r="B448" t="s">
        <v>591</v>
      </c>
      <c r="C448" t="s">
        <v>1044</v>
      </c>
      <c r="D448" t="s">
        <v>1154</v>
      </c>
      <c r="E448">
        <v>3.7</v>
      </c>
      <c r="F448">
        <v>6</v>
      </c>
      <c r="G448" t="s">
        <v>1173</v>
      </c>
      <c r="H448" t="s">
        <v>1032</v>
      </c>
      <c r="I448">
        <v>14.5</v>
      </c>
      <c r="J448">
        <v>19</v>
      </c>
    </row>
    <row r="449" spans="1:10" x14ac:dyDescent="0.25">
      <c r="A449" t="s">
        <v>457</v>
      </c>
      <c r="B449" t="s">
        <v>591</v>
      </c>
      <c r="C449" t="s">
        <v>1045</v>
      </c>
      <c r="D449" t="s">
        <v>1154</v>
      </c>
      <c r="E449">
        <v>3.7</v>
      </c>
      <c r="F449">
        <v>6</v>
      </c>
      <c r="G449" t="s">
        <v>1173</v>
      </c>
      <c r="H449" t="s">
        <v>1032</v>
      </c>
      <c r="I449">
        <v>14.4</v>
      </c>
      <c r="J449">
        <v>20</v>
      </c>
    </row>
    <row r="450" spans="1:10" x14ac:dyDescent="0.25">
      <c r="A450" t="s">
        <v>458</v>
      </c>
      <c r="B450" t="s">
        <v>591</v>
      </c>
      <c r="C450" t="s">
        <v>1046</v>
      </c>
      <c r="D450" t="s">
        <v>1154</v>
      </c>
      <c r="E450">
        <v>3.7</v>
      </c>
      <c r="F450">
        <v>6</v>
      </c>
      <c r="G450" t="s">
        <v>1173</v>
      </c>
      <c r="H450" t="s">
        <v>1032</v>
      </c>
      <c r="I450">
        <v>14.5</v>
      </c>
      <c r="J450">
        <v>19</v>
      </c>
    </row>
    <row r="451" spans="1:10" x14ac:dyDescent="0.25">
      <c r="A451" t="s">
        <v>459</v>
      </c>
      <c r="B451" t="s">
        <v>591</v>
      </c>
      <c r="C451" t="s">
        <v>1047</v>
      </c>
      <c r="D451" t="s">
        <v>1151</v>
      </c>
      <c r="E451">
        <v>3</v>
      </c>
      <c r="F451">
        <v>6</v>
      </c>
      <c r="G451" t="s">
        <v>1168</v>
      </c>
      <c r="H451" t="s">
        <v>1032</v>
      </c>
      <c r="I451">
        <v>12.2</v>
      </c>
      <c r="J451">
        <v>23</v>
      </c>
    </row>
    <row r="452" spans="1:10" x14ac:dyDescent="0.25">
      <c r="A452" t="s">
        <v>460</v>
      </c>
      <c r="B452" t="s">
        <v>591</v>
      </c>
      <c r="C452" t="s">
        <v>1048</v>
      </c>
      <c r="D452" t="s">
        <v>1151</v>
      </c>
      <c r="E452">
        <v>3</v>
      </c>
      <c r="F452">
        <v>6</v>
      </c>
      <c r="G452" t="s">
        <v>1168</v>
      </c>
      <c r="H452" t="s">
        <v>1032</v>
      </c>
      <c r="I452">
        <v>12.2</v>
      </c>
      <c r="J452">
        <v>23</v>
      </c>
    </row>
    <row r="453" spans="1:10" x14ac:dyDescent="0.25">
      <c r="A453" t="s">
        <v>461</v>
      </c>
      <c r="B453" t="s">
        <v>591</v>
      </c>
      <c r="C453" t="s">
        <v>1049</v>
      </c>
      <c r="D453" t="s">
        <v>1151</v>
      </c>
      <c r="E453">
        <v>4</v>
      </c>
      <c r="F453">
        <v>8</v>
      </c>
      <c r="G453" t="s">
        <v>1168</v>
      </c>
      <c r="H453" t="s">
        <v>1032</v>
      </c>
      <c r="I453">
        <v>13.5</v>
      </c>
      <c r="J453">
        <v>21</v>
      </c>
    </row>
    <row r="454" spans="1:10" x14ac:dyDescent="0.25">
      <c r="A454" t="s">
        <v>462</v>
      </c>
      <c r="B454" t="s">
        <v>591</v>
      </c>
      <c r="C454" t="s">
        <v>1050</v>
      </c>
      <c r="D454" t="s">
        <v>1151</v>
      </c>
      <c r="E454">
        <v>4</v>
      </c>
      <c r="F454">
        <v>8</v>
      </c>
      <c r="G454" t="s">
        <v>1168</v>
      </c>
      <c r="H454" t="s">
        <v>1032</v>
      </c>
      <c r="I454">
        <v>13.6</v>
      </c>
      <c r="J454">
        <v>21</v>
      </c>
    </row>
    <row r="455" spans="1:10" x14ac:dyDescent="0.25">
      <c r="A455" t="s">
        <v>463</v>
      </c>
      <c r="B455" t="s">
        <v>591</v>
      </c>
      <c r="C455" t="s">
        <v>1051</v>
      </c>
      <c r="D455" t="s">
        <v>1151</v>
      </c>
      <c r="E455">
        <v>4</v>
      </c>
      <c r="F455">
        <v>8</v>
      </c>
      <c r="G455" t="s">
        <v>1168</v>
      </c>
      <c r="H455" t="s">
        <v>1032</v>
      </c>
      <c r="I455">
        <v>13.8</v>
      </c>
      <c r="J455">
        <v>20</v>
      </c>
    </row>
    <row r="456" spans="1:10" x14ac:dyDescent="0.25">
      <c r="A456" t="s">
        <v>464</v>
      </c>
      <c r="B456" t="s">
        <v>591</v>
      </c>
      <c r="C456" t="s">
        <v>1052</v>
      </c>
      <c r="D456" t="s">
        <v>1150</v>
      </c>
      <c r="E456">
        <v>2</v>
      </c>
      <c r="F456">
        <v>4</v>
      </c>
      <c r="G456" t="s">
        <v>1167</v>
      </c>
      <c r="H456" t="s">
        <v>1032</v>
      </c>
      <c r="I456">
        <v>11</v>
      </c>
      <c r="J456">
        <v>26</v>
      </c>
    </row>
    <row r="457" spans="1:10" x14ac:dyDescent="0.25">
      <c r="A457" t="s">
        <v>465</v>
      </c>
      <c r="B457" t="s">
        <v>591</v>
      </c>
      <c r="C457" t="s">
        <v>1053</v>
      </c>
      <c r="D457" t="s">
        <v>1150</v>
      </c>
      <c r="E457">
        <v>2</v>
      </c>
      <c r="F457">
        <v>4</v>
      </c>
      <c r="G457" t="s">
        <v>1167</v>
      </c>
      <c r="H457" t="s">
        <v>1032</v>
      </c>
      <c r="I457">
        <v>11</v>
      </c>
      <c r="J457">
        <v>26</v>
      </c>
    </row>
    <row r="458" spans="1:10" x14ac:dyDescent="0.25">
      <c r="A458" t="s">
        <v>466</v>
      </c>
      <c r="B458" t="s">
        <v>591</v>
      </c>
      <c r="C458" t="s">
        <v>1054</v>
      </c>
      <c r="D458" t="s">
        <v>1150</v>
      </c>
      <c r="E458">
        <v>2.9</v>
      </c>
      <c r="F458">
        <v>6</v>
      </c>
      <c r="G458" t="s">
        <v>1167</v>
      </c>
      <c r="H458" t="s">
        <v>1032</v>
      </c>
      <c r="I458">
        <v>12.2</v>
      </c>
      <c r="J458">
        <v>23</v>
      </c>
    </row>
    <row r="459" spans="1:10" x14ac:dyDescent="0.25">
      <c r="A459" t="s">
        <v>467</v>
      </c>
      <c r="B459" t="s">
        <v>591</v>
      </c>
      <c r="C459" t="s">
        <v>1055</v>
      </c>
      <c r="D459" t="s">
        <v>1150</v>
      </c>
      <c r="E459">
        <v>2.9</v>
      </c>
      <c r="F459">
        <v>6</v>
      </c>
      <c r="G459" t="s">
        <v>1167</v>
      </c>
      <c r="H459" t="s">
        <v>1032</v>
      </c>
      <c r="I459">
        <v>12.2</v>
      </c>
      <c r="J459">
        <v>23</v>
      </c>
    </row>
    <row r="460" spans="1:10" x14ac:dyDescent="0.25">
      <c r="A460" t="s">
        <v>468</v>
      </c>
      <c r="B460" t="s">
        <v>591</v>
      </c>
      <c r="C460" t="s">
        <v>1056</v>
      </c>
      <c r="D460" t="s">
        <v>1149</v>
      </c>
      <c r="E460">
        <v>2.9</v>
      </c>
      <c r="F460">
        <v>6</v>
      </c>
      <c r="G460" t="s">
        <v>1173</v>
      </c>
      <c r="H460" t="s">
        <v>1032</v>
      </c>
      <c r="I460">
        <v>11.4</v>
      </c>
      <c r="J460">
        <v>25</v>
      </c>
    </row>
    <row r="461" spans="1:10" x14ac:dyDescent="0.25">
      <c r="A461" t="s">
        <v>469</v>
      </c>
      <c r="B461" t="s">
        <v>591</v>
      </c>
      <c r="C461" t="s">
        <v>1057</v>
      </c>
      <c r="D461" t="s">
        <v>1149</v>
      </c>
      <c r="E461">
        <v>2.9</v>
      </c>
      <c r="F461">
        <v>6</v>
      </c>
      <c r="G461" t="s">
        <v>1173</v>
      </c>
      <c r="H461" t="s">
        <v>1032</v>
      </c>
      <c r="I461">
        <v>11.4</v>
      </c>
      <c r="J461">
        <v>25</v>
      </c>
    </row>
    <row r="462" spans="1:10" x14ac:dyDescent="0.25">
      <c r="A462" t="s">
        <v>470</v>
      </c>
      <c r="B462" t="s">
        <v>591</v>
      </c>
      <c r="C462" t="s">
        <v>1058</v>
      </c>
      <c r="D462" t="s">
        <v>1149</v>
      </c>
      <c r="E462">
        <v>4</v>
      </c>
      <c r="F462">
        <v>8</v>
      </c>
      <c r="G462" t="s">
        <v>1173</v>
      </c>
      <c r="H462" t="s">
        <v>1032</v>
      </c>
      <c r="I462">
        <v>12.5</v>
      </c>
      <c r="J462">
        <v>23</v>
      </c>
    </row>
    <row r="463" spans="1:10" x14ac:dyDescent="0.25">
      <c r="A463" t="s">
        <v>471</v>
      </c>
      <c r="B463" t="s">
        <v>592</v>
      </c>
      <c r="C463" t="s">
        <v>1059</v>
      </c>
      <c r="D463" t="s">
        <v>1159</v>
      </c>
      <c r="E463">
        <v>3</v>
      </c>
      <c r="F463">
        <v>6</v>
      </c>
      <c r="G463" t="s">
        <v>1165</v>
      </c>
      <c r="H463" t="s">
        <v>1180</v>
      </c>
      <c r="I463">
        <v>11.5</v>
      </c>
      <c r="J463">
        <v>25</v>
      </c>
    </row>
    <row r="464" spans="1:10" x14ac:dyDescent="0.25">
      <c r="A464" t="s">
        <v>472</v>
      </c>
      <c r="B464" t="s">
        <v>592</v>
      </c>
      <c r="C464" t="s">
        <v>1060</v>
      </c>
      <c r="D464" t="s">
        <v>1159</v>
      </c>
      <c r="E464">
        <v>3.6</v>
      </c>
      <c r="F464">
        <v>6</v>
      </c>
      <c r="G464" t="s">
        <v>1165</v>
      </c>
      <c r="H464" t="s">
        <v>1180</v>
      </c>
      <c r="I464">
        <v>10.8</v>
      </c>
      <c r="J464">
        <v>26</v>
      </c>
    </row>
    <row r="465" spans="1:10" x14ac:dyDescent="0.25">
      <c r="A465" t="s">
        <v>473</v>
      </c>
      <c r="B465" t="s">
        <v>592</v>
      </c>
      <c r="C465" t="s">
        <v>1061</v>
      </c>
      <c r="D465" t="s">
        <v>1159</v>
      </c>
      <c r="E465">
        <v>3</v>
      </c>
      <c r="F465">
        <v>6</v>
      </c>
      <c r="G465" t="s">
        <v>1165</v>
      </c>
      <c r="H465" t="s">
        <v>1180</v>
      </c>
      <c r="I465">
        <v>12.1</v>
      </c>
      <c r="J465">
        <v>23</v>
      </c>
    </row>
    <row r="466" spans="1:10" x14ac:dyDescent="0.25">
      <c r="A466" t="s">
        <v>474</v>
      </c>
      <c r="B466" t="s">
        <v>592</v>
      </c>
      <c r="C466" t="s">
        <v>1062</v>
      </c>
      <c r="D466" t="s">
        <v>1159</v>
      </c>
      <c r="E466">
        <v>3.6</v>
      </c>
      <c r="F466">
        <v>6</v>
      </c>
      <c r="G466" t="s">
        <v>1165</v>
      </c>
      <c r="H466" t="s">
        <v>1180</v>
      </c>
      <c r="I466">
        <v>11</v>
      </c>
      <c r="J466">
        <v>26</v>
      </c>
    </row>
    <row r="467" spans="1:10" x14ac:dyDescent="0.25">
      <c r="A467" t="s">
        <v>475</v>
      </c>
      <c r="B467" t="s">
        <v>592</v>
      </c>
      <c r="C467" t="s">
        <v>1063</v>
      </c>
      <c r="D467" t="s">
        <v>1159</v>
      </c>
      <c r="E467">
        <v>3</v>
      </c>
      <c r="F467">
        <v>6</v>
      </c>
      <c r="G467" t="s">
        <v>1165</v>
      </c>
      <c r="H467" t="s">
        <v>1032</v>
      </c>
      <c r="I467">
        <v>13.8</v>
      </c>
      <c r="J467">
        <v>20</v>
      </c>
    </row>
    <row r="468" spans="1:10" x14ac:dyDescent="0.25">
      <c r="A468" t="s">
        <v>476</v>
      </c>
      <c r="B468" t="s">
        <v>592</v>
      </c>
      <c r="C468" t="s">
        <v>1064</v>
      </c>
      <c r="D468" t="s">
        <v>1159</v>
      </c>
      <c r="E468">
        <v>3</v>
      </c>
      <c r="F468">
        <v>6</v>
      </c>
      <c r="G468" t="s">
        <v>1165</v>
      </c>
      <c r="H468" t="s">
        <v>1032</v>
      </c>
      <c r="I468">
        <v>15.9</v>
      </c>
      <c r="J468">
        <v>18</v>
      </c>
    </row>
    <row r="469" spans="1:10" x14ac:dyDescent="0.25">
      <c r="A469" t="s">
        <v>477</v>
      </c>
      <c r="B469" t="s">
        <v>593</v>
      </c>
      <c r="C469" t="s">
        <v>1065</v>
      </c>
      <c r="D469" t="s">
        <v>1151</v>
      </c>
      <c r="E469">
        <v>6.7</v>
      </c>
      <c r="F469">
        <v>12</v>
      </c>
      <c r="G469" t="s">
        <v>1168</v>
      </c>
      <c r="H469" t="s">
        <v>1032</v>
      </c>
      <c r="I469">
        <v>16.399999999999999</v>
      </c>
      <c r="J469">
        <v>17</v>
      </c>
    </row>
    <row r="470" spans="1:10" x14ac:dyDescent="0.25">
      <c r="A470" t="s">
        <v>478</v>
      </c>
      <c r="B470" t="s">
        <v>593</v>
      </c>
      <c r="C470" t="s">
        <v>1066</v>
      </c>
      <c r="D470" t="s">
        <v>1151</v>
      </c>
      <c r="E470">
        <v>6.7</v>
      </c>
      <c r="F470">
        <v>12</v>
      </c>
      <c r="G470" t="s">
        <v>1168</v>
      </c>
      <c r="H470" t="s">
        <v>1032</v>
      </c>
      <c r="I470">
        <v>16.399999999999999</v>
      </c>
      <c r="J470">
        <v>17</v>
      </c>
    </row>
    <row r="471" spans="1:10" x14ac:dyDescent="0.25">
      <c r="A471" t="s">
        <v>479</v>
      </c>
      <c r="B471" t="s">
        <v>593</v>
      </c>
      <c r="C471" t="s">
        <v>1067</v>
      </c>
      <c r="D471" t="s">
        <v>1149</v>
      </c>
      <c r="E471">
        <v>6.7</v>
      </c>
      <c r="F471">
        <v>12</v>
      </c>
      <c r="G471" t="s">
        <v>1168</v>
      </c>
      <c r="H471" t="s">
        <v>1032</v>
      </c>
      <c r="I471">
        <v>16.399999999999999</v>
      </c>
      <c r="J471">
        <v>17</v>
      </c>
    </row>
    <row r="472" spans="1:10" x14ac:dyDescent="0.25">
      <c r="A472" t="s">
        <v>480</v>
      </c>
      <c r="B472" t="s">
        <v>593</v>
      </c>
      <c r="C472" t="s">
        <v>1068</v>
      </c>
      <c r="D472" t="s">
        <v>1149</v>
      </c>
      <c r="E472">
        <v>6.7</v>
      </c>
      <c r="F472">
        <v>12</v>
      </c>
      <c r="G472" t="s">
        <v>1168</v>
      </c>
      <c r="H472" t="s">
        <v>1032</v>
      </c>
      <c r="I472">
        <v>16.399999999999999</v>
      </c>
      <c r="J472">
        <v>17</v>
      </c>
    </row>
    <row r="473" spans="1:10" x14ac:dyDescent="0.25">
      <c r="A473" t="s">
        <v>481</v>
      </c>
      <c r="B473" t="s">
        <v>593</v>
      </c>
      <c r="C473" t="s">
        <v>1069</v>
      </c>
      <c r="D473" t="s">
        <v>1149</v>
      </c>
      <c r="E473">
        <v>6.7</v>
      </c>
      <c r="F473">
        <v>12</v>
      </c>
      <c r="G473" t="s">
        <v>1168</v>
      </c>
      <c r="H473" t="s">
        <v>1032</v>
      </c>
      <c r="I473">
        <v>16.399999999999999</v>
      </c>
      <c r="J473">
        <v>17</v>
      </c>
    </row>
    <row r="474" spans="1:10" x14ac:dyDescent="0.25">
      <c r="A474" t="s">
        <v>482</v>
      </c>
      <c r="B474" t="s">
        <v>593</v>
      </c>
      <c r="C474" t="s">
        <v>1070</v>
      </c>
      <c r="D474" t="s">
        <v>1149</v>
      </c>
      <c r="E474">
        <v>6.7</v>
      </c>
      <c r="F474">
        <v>12</v>
      </c>
      <c r="G474" t="s">
        <v>1168</v>
      </c>
      <c r="H474" t="s">
        <v>1032</v>
      </c>
      <c r="I474">
        <v>16.399999999999999</v>
      </c>
      <c r="J474">
        <v>17</v>
      </c>
    </row>
    <row r="475" spans="1:10" x14ac:dyDescent="0.25">
      <c r="A475" t="s">
        <v>483</v>
      </c>
      <c r="B475" t="s">
        <v>593</v>
      </c>
      <c r="C475" t="s">
        <v>1071</v>
      </c>
      <c r="D475" t="s">
        <v>1149</v>
      </c>
      <c r="E475">
        <v>6.7</v>
      </c>
      <c r="F475">
        <v>12</v>
      </c>
      <c r="G475" t="s">
        <v>1168</v>
      </c>
      <c r="H475" t="s">
        <v>1032</v>
      </c>
      <c r="I475">
        <v>16.399999999999999</v>
      </c>
      <c r="J475">
        <v>17</v>
      </c>
    </row>
    <row r="476" spans="1:10" x14ac:dyDescent="0.25">
      <c r="A476" t="s">
        <v>484</v>
      </c>
      <c r="B476" t="s">
        <v>594</v>
      </c>
      <c r="C476" t="s">
        <v>1072</v>
      </c>
      <c r="D476" t="s">
        <v>1151</v>
      </c>
      <c r="E476">
        <v>2.4</v>
      </c>
      <c r="F476">
        <v>4</v>
      </c>
      <c r="G476" t="s">
        <v>1176</v>
      </c>
      <c r="H476" t="s">
        <v>1180</v>
      </c>
      <c r="I476">
        <v>11</v>
      </c>
      <c r="J476">
        <v>26</v>
      </c>
    </row>
    <row r="477" spans="1:10" x14ac:dyDescent="0.25">
      <c r="A477" t="s">
        <v>485</v>
      </c>
      <c r="B477" t="s">
        <v>594</v>
      </c>
      <c r="C477" t="s">
        <v>1073</v>
      </c>
      <c r="D477" t="s">
        <v>1154</v>
      </c>
      <c r="E477">
        <v>2.4</v>
      </c>
      <c r="F477">
        <v>4</v>
      </c>
      <c r="G477" t="s">
        <v>1177</v>
      </c>
      <c r="H477" t="s">
        <v>1032</v>
      </c>
      <c r="I477">
        <v>9.6</v>
      </c>
      <c r="J477">
        <v>29</v>
      </c>
    </row>
    <row r="478" spans="1:10" x14ac:dyDescent="0.25">
      <c r="A478" t="s">
        <v>486</v>
      </c>
      <c r="B478" t="s">
        <v>594</v>
      </c>
      <c r="C478" t="s">
        <v>1074</v>
      </c>
      <c r="D478" t="s">
        <v>1150</v>
      </c>
      <c r="E478">
        <v>2</v>
      </c>
      <c r="F478">
        <v>4</v>
      </c>
      <c r="G478" t="s">
        <v>1176</v>
      </c>
      <c r="H478" t="s">
        <v>1180</v>
      </c>
      <c r="I478">
        <v>8</v>
      </c>
      <c r="J478">
        <v>35</v>
      </c>
    </row>
    <row r="479" spans="1:10" x14ac:dyDescent="0.25">
      <c r="A479" t="s">
        <v>487</v>
      </c>
      <c r="B479" t="s">
        <v>594</v>
      </c>
      <c r="C479" t="s">
        <v>1075</v>
      </c>
      <c r="D479" t="s">
        <v>1150</v>
      </c>
      <c r="E479">
        <v>2.5</v>
      </c>
      <c r="F479">
        <v>4</v>
      </c>
      <c r="G479" t="s">
        <v>1176</v>
      </c>
      <c r="H479" t="s">
        <v>1180</v>
      </c>
      <c r="I479">
        <v>8.8000000000000007</v>
      </c>
      <c r="J479">
        <v>32</v>
      </c>
    </row>
    <row r="480" spans="1:10" x14ac:dyDescent="0.25">
      <c r="A480" t="s">
        <v>488</v>
      </c>
      <c r="B480" t="s">
        <v>594</v>
      </c>
      <c r="C480" t="s">
        <v>1076</v>
      </c>
      <c r="D480" t="s">
        <v>1150</v>
      </c>
      <c r="E480">
        <v>2.5</v>
      </c>
      <c r="F480">
        <v>4</v>
      </c>
      <c r="G480" t="s">
        <v>1176</v>
      </c>
      <c r="H480" t="s">
        <v>1180</v>
      </c>
      <c r="I480">
        <v>8.3000000000000007</v>
      </c>
      <c r="J480">
        <v>34</v>
      </c>
    </row>
    <row r="481" spans="1:10" x14ac:dyDescent="0.25">
      <c r="A481" t="s">
        <v>489</v>
      </c>
      <c r="B481" t="s">
        <v>594</v>
      </c>
      <c r="C481" t="s">
        <v>1077</v>
      </c>
      <c r="D481" t="s">
        <v>1150</v>
      </c>
      <c r="E481">
        <v>2.5</v>
      </c>
      <c r="F481">
        <v>4</v>
      </c>
      <c r="G481" t="s">
        <v>1176</v>
      </c>
      <c r="H481" t="s">
        <v>1180</v>
      </c>
      <c r="I481">
        <v>9</v>
      </c>
      <c r="J481">
        <v>31</v>
      </c>
    </row>
    <row r="482" spans="1:10" x14ac:dyDescent="0.25">
      <c r="A482" t="s">
        <v>490</v>
      </c>
      <c r="B482" t="s">
        <v>594</v>
      </c>
      <c r="C482" t="s">
        <v>1078</v>
      </c>
      <c r="D482" t="s">
        <v>1150</v>
      </c>
      <c r="E482">
        <v>2.5</v>
      </c>
      <c r="F482">
        <v>4</v>
      </c>
      <c r="G482" t="s">
        <v>1178</v>
      </c>
      <c r="H482" t="s">
        <v>1180</v>
      </c>
      <c r="I482">
        <v>6.9</v>
      </c>
      <c r="J482">
        <v>41</v>
      </c>
    </row>
    <row r="483" spans="1:10" x14ac:dyDescent="0.25">
      <c r="A483" t="s">
        <v>491</v>
      </c>
      <c r="B483" t="s">
        <v>594</v>
      </c>
      <c r="C483" t="s">
        <v>1079</v>
      </c>
      <c r="D483" t="s">
        <v>1157</v>
      </c>
      <c r="E483">
        <v>2</v>
      </c>
      <c r="F483">
        <v>4</v>
      </c>
      <c r="G483" t="s">
        <v>1176</v>
      </c>
      <c r="H483" t="s">
        <v>1180</v>
      </c>
      <c r="I483">
        <v>8</v>
      </c>
      <c r="J483">
        <v>35</v>
      </c>
    </row>
    <row r="484" spans="1:10" x14ac:dyDescent="0.25">
      <c r="A484" t="s">
        <v>492</v>
      </c>
      <c r="B484" t="s">
        <v>594</v>
      </c>
      <c r="C484" t="s">
        <v>1080</v>
      </c>
      <c r="D484" t="s">
        <v>1150</v>
      </c>
      <c r="E484">
        <v>2.4</v>
      </c>
      <c r="F484">
        <v>4</v>
      </c>
      <c r="G484" t="s">
        <v>1176</v>
      </c>
      <c r="H484" t="s">
        <v>1180</v>
      </c>
      <c r="I484">
        <v>9.5</v>
      </c>
      <c r="J484">
        <v>30</v>
      </c>
    </row>
    <row r="485" spans="1:10" x14ac:dyDescent="0.25">
      <c r="A485" t="s">
        <v>493</v>
      </c>
      <c r="B485" t="s">
        <v>594</v>
      </c>
      <c r="C485" t="s">
        <v>1081</v>
      </c>
      <c r="D485" t="s">
        <v>1150</v>
      </c>
      <c r="E485">
        <v>2.4</v>
      </c>
      <c r="F485">
        <v>4</v>
      </c>
      <c r="G485" t="s">
        <v>1176</v>
      </c>
      <c r="H485" t="s">
        <v>1180</v>
      </c>
      <c r="I485">
        <v>10.1</v>
      </c>
      <c r="J485">
        <v>28</v>
      </c>
    </row>
    <row r="486" spans="1:10" x14ac:dyDescent="0.25">
      <c r="A486" t="s">
        <v>494</v>
      </c>
      <c r="B486" t="s">
        <v>594</v>
      </c>
      <c r="C486" t="s">
        <v>1082</v>
      </c>
      <c r="D486" t="s">
        <v>1153</v>
      </c>
      <c r="E486">
        <v>2.4</v>
      </c>
      <c r="F486">
        <v>4</v>
      </c>
      <c r="G486" t="s">
        <v>1176</v>
      </c>
      <c r="H486" t="s">
        <v>1032</v>
      </c>
      <c r="I486">
        <v>11.2</v>
      </c>
      <c r="J486">
        <v>25</v>
      </c>
    </row>
    <row r="487" spans="1:10" x14ac:dyDescent="0.25">
      <c r="A487" t="s">
        <v>495</v>
      </c>
      <c r="B487" t="s">
        <v>595</v>
      </c>
      <c r="C487" t="s">
        <v>1083</v>
      </c>
      <c r="D487" t="s">
        <v>1151</v>
      </c>
      <c r="E487">
        <v>2.4</v>
      </c>
      <c r="F487">
        <v>4</v>
      </c>
      <c r="G487" t="s">
        <v>1168</v>
      </c>
      <c r="H487" t="s">
        <v>1180</v>
      </c>
      <c r="I487">
        <v>11.2</v>
      </c>
      <c r="J487">
        <v>25</v>
      </c>
    </row>
    <row r="488" spans="1:10" x14ac:dyDescent="0.25">
      <c r="A488" t="s">
        <v>496</v>
      </c>
      <c r="B488" t="s">
        <v>595</v>
      </c>
      <c r="C488" t="s">
        <v>1084</v>
      </c>
      <c r="D488" t="s">
        <v>1151</v>
      </c>
      <c r="E488">
        <v>2.4</v>
      </c>
      <c r="F488">
        <v>4</v>
      </c>
      <c r="G488" t="s">
        <v>1168</v>
      </c>
      <c r="H488" t="s">
        <v>1180</v>
      </c>
      <c r="I488">
        <v>11.1</v>
      </c>
      <c r="J488">
        <v>25</v>
      </c>
    </row>
    <row r="489" spans="1:10" x14ac:dyDescent="0.25">
      <c r="A489" t="s">
        <v>497</v>
      </c>
      <c r="B489" t="s">
        <v>595</v>
      </c>
      <c r="C489" t="s">
        <v>1085</v>
      </c>
      <c r="D489" t="s">
        <v>1151</v>
      </c>
      <c r="E489">
        <v>2.4</v>
      </c>
      <c r="F489">
        <v>4</v>
      </c>
      <c r="G489" t="s">
        <v>1168</v>
      </c>
      <c r="H489" t="s">
        <v>1180</v>
      </c>
      <c r="I489">
        <v>9.9</v>
      </c>
      <c r="J489">
        <v>29</v>
      </c>
    </row>
    <row r="490" spans="1:10" x14ac:dyDescent="0.25">
      <c r="A490" t="s">
        <v>498</v>
      </c>
      <c r="B490" t="s">
        <v>595</v>
      </c>
      <c r="C490" t="s">
        <v>1086</v>
      </c>
      <c r="D490" t="s">
        <v>1151</v>
      </c>
      <c r="E490">
        <v>2.4</v>
      </c>
      <c r="F490">
        <v>4</v>
      </c>
      <c r="G490" t="s">
        <v>1168</v>
      </c>
      <c r="H490" t="s">
        <v>1180</v>
      </c>
      <c r="I490">
        <v>10.1</v>
      </c>
      <c r="J490">
        <v>28</v>
      </c>
    </row>
    <row r="491" spans="1:10" x14ac:dyDescent="0.25">
      <c r="A491" t="s">
        <v>499</v>
      </c>
      <c r="B491" t="s">
        <v>595</v>
      </c>
      <c r="C491" t="s">
        <v>1087</v>
      </c>
      <c r="D491" t="s">
        <v>1153</v>
      </c>
      <c r="E491">
        <v>2.5</v>
      </c>
      <c r="F491">
        <v>4</v>
      </c>
      <c r="G491" t="s">
        <v>1169</v>
      </c>
      <c r="H491" t="s">
        <v>1180</v>
      </c>
      <c r="I491">
        <v>4.9000000000000004</v>
      </c>
      <c r="J491">
        <v>58</v>
      </c>
    </row>
    <row r="492" spans="1:10" x14ac:dyDescent="0.25">
      <c r="A492" t="s">
        <v>500</v>
      </c>
      <c r="B492" t="s">
        <v>595</v>
      </c>
      <c r="C492" t="s">
        <v>1088</v>
      </c>
      <c r="D492" t="s">
        <v>1153</v>
      </c>
      <c r="E492">
        <v>2.5</v>
      </c>
      <c r="F492">
        <v>4</v>
      </c>
      <c r="G492" t="s">
        <v>1169</v>
      </c>
      <c r="H492" t="s">
        <v>1180</v>
      </c>
      <c r="I492">
        <v>5.0999999999999996</v>
      </c>
      <c r="J492">
        <v>55</v>
      </c>
    </row>
    <row r="493" spans="1:10" x14ac:dyDescent="0.25">
      <c r="A493" t="s">
        <v>501</v>
      </c>
      <c r="B493" t="s">
        <v>595</v>
      </c>
      <c r="C493" t="s">
        <v>1089</v>
      </c>
      <c r="D493" t="s">
        <v>1153</v>
      </c>
      <c r="E493">
        <v>2.5</v>
      </c>
      <c r="F493">
        <v>4</v>
      </c>
      <c r="G493" t="s">
        <v>1169</v>
      </c>
      <c r="H493" t="s">
        <v>1180</v>
      </c>
      <c r="I493">
        <v>5.3</v>
      </c>
      <c r="J493">
        <v>53</v>
      </c>
    </row>
    <row r="494" spans="1:10" x14ac:dyDescent="0.25">
      <c r="A494" t="s">
        <v>502</v>
      </c>
      <c r="B494" t="s">
        <v>595</v>
      </c>
      <c r="C494" t="s">
        <v>1090</v>
      </c>
      <c r="D494" t="s">
        <v>1152</v>
      </c>
      <c r="E494">
        <v>2</v>
      </c>
      <c r="F494">
        <v>4</v>
      </c>
      <c r="G494" t="s">
        <v>1169</v>
      </c>
      <c r="H494" t="s">
        <v>1180</v>
      </c>
      <c r="I494">
        <v>6.7</v>
      </c>
      <c r="J494">
        <v>42</v>
      </c>
    </row>
    <row r="495" spans="1:10" x14ac:dyDescent="0.25">
      <c r="A495" t="s">
        <v>503</v>
      </c>
      <c r="B495" t="s">
        <v>595</v>
      </c>
      <c r="C495" t="s">
        <v>1091</v>
      </c>
      <c r="D495" t="s">
        <v>1152</v>
      </c>
      <c r="E495">
        <v>2</v>
      </c>
      <c r="F495">
        <v>4</v>
      </c>
      <c r="G495" t="s">
        <v>1179</v>
      </c>
      <c r="H495" t="s">
        <v>1180</v>
      </c>
      <c r="I495">
        <v>6.8</v>
      </c>
      <c r="J495">
        <v>42</v>
      </c>
    </row>
    <row r="496" spans="1:10" x14ac:dyDescent="0.25">
      <c r="A496" t="s">
        <v>504</v>
      </c>
      <c r="B496" t="s">
        <v>595</v>
      </c>
      <c r="C496" t="s">
        <v>1092</v>
      </c>
      <c r="D496" t="s">
        <v>1152</v>
      </c>
      <c r="E496">
        <v>2</v>
      </c>
      <c r="F496">
        <v>4</v>
      </c>
      <c r="G496" t="s">
        <v>1179</v>
      </c>
      <c r="H496" t="s">
        <v>1180</v>
      </c>
      <c r="I496">
        <v>6.8</v>
      </c>
      <c r="J496">
        <v>42</v>
      </c>
    </row>
    <row r="497" spans="1:10" x14ac:dyDescent="0.25">
      <c r="A497" t="s">
        <v>505</v>
      </c>
      <c r="B497" t="s">
        <v>595</v>
      </c>
      <c r="C497" t="s">
        <v>1093</v>
      </c>
      <c r="D497" t="s">
        <v>1152</v>
      </c>
      <c r="E497">
        <v>1.8</v>
      </c>
      <c r="F497">
        <v>4</v>
      </c>
      <c r="G497" t="s">
        <v>1169</v>
      </c>
      <c r="H497" t="s">
        <v>1180</v>
      </c>
      <c r="I497">
        <v>4.7</v>
      </c>
      <c r="J497">
        <v>60</v>
      </c>
    </row>
    <row r="498" spans="1:10" x14ac:dyDescent="0.25">
      <c r="A498" t="s">
        <v>506</v>
      </c>
      <c r="B498" t="s">
        <v>595</v>
      </c>
      <c r="C498" t="s">
        <v>1094</v>
      </c>
      <c r="D498" t="s">
        <v>1152</v>
      </c>
      <c r="E498">
        <v>1.8</v>
      </c>
      <c r="F498">
        <v>4</v>
      </c>
      <c r="G498" t="s">
        <v>1169</v>
      </c>
      <c r="H498" t="s">
        <v>1180</v>
      </c>
      <c r="I498">
        <v>4.9000000000000004</v>
      </c>
      <c r="J498">
        <v>58</v>
      </c>
    </row>
    <row r="499" spans="1:10" x14ac:dyDescent="0.25">
      <c r="A499" t="s">
        <v>507</v>
      </c>
      <c r="B499" t="s">
        <v>595</v>
      </c>
      <c r="C499" t="s">
        <v>1095</v>
      </c>
      <c r="D499" t="s">
        <v>1152</v>
      </c>
      <c r="E499">
        <v>1.8</v>
      </c>
      <c r="F499">
        <v>4</v>
      </c>
      <c r="G499" t="s">
        <v>1169</v>
      </c>
      <c r="H499" t="s">
        <v>1180</v>
      </c>
      <c r="I499">
        <v>5.3</v>
      </c>
      <c r="J499">
        <v>53</v>
      </c>
    </row>
    <row r="500" spans="1:10" x14ac:dyDescent="0.25">
      <c r="A500" t="s">
        <v>508</v>
      </c>
      <c r="B500" t="s">
        <v>595</v>
      </c>
      <c r="C500" t="s">
        <v>1096</v>
      </c>
      <c r="D500" t="s">
        <v>1150</v>
      </c>
      <c r="E500">
        <v>2</v>
      </c>
      <c r="F500">
        <v>4</v>
      </c>
      <c r="G500" t="s">
        <v>1179</v>
      </c>
      <c r="H500" t="s">
        <v>1180</v>
      </c>
      <c r="I500">
        <v>7.4</v>
      </c>
      <c r="J500">
        <v>38</v>
      </c>
    </row>
    <row r="501" spans="1:10" x14ac:dyDescent="0.25">
      <c r="A501" t="s">
        <v>509</v>
      </c>
      <c r="B501" t="s">
        <v>595</v>
      </c>
      <c r="C501" t="s">
        <v>1097</v>
      </c>
      <c r="D501" t="s">
        <v>1150</v>
      </c>
      <c r="E501">
        <v>2</v>
      </c>
      <c r="F501">
        <v>4</v>
      </c>
      <c r="G501" t="s">
        <v>1179</v>
      </c>
      <c r="H501" t="s">
        <v>1180</v>
      </c>
      <c r="I501">
        <v>7.8</v>
      </c>
      <c r="J501">
        <v>36</v>
      </c>
    </row>
    <row r="502" spans="1:10" x14ac:dyDescent="0.25">
      <c r="A502" t="s">
        <v>510</v>
      </c>
      <c r="B502" t="s">
        <v>595</v>
      </c>
      <c r="C502" t="s">
        <v>1098</v>
      </c>
      <c r="D502" t="s">
        <v>1150</v>
      </c>
      <c r="E502">
        <v>2</v>
      </c>
      <c r="F502">
        <v>4</v>
      </c>
      <c r="G502" t="s">
        <v>1178</v>
      </c>
      <c r="H502" t="s">
        <v>1180</v>
      </c>
      <c r="I502">
        <v>5.6</v>
      </c>
      <c r="J502">
        <v>50</v>
      </c>
    </row>
    <row r="503" spans="1:10" x14ac:dyDescent="0.25">
      <c r="A503" t="s">
        <v>511</v>
      </c>
      <c r="B503" t="s">
        <v>595</v>
      </c>
      <c r="C503" t="s">
        <v>1099</v>
      </c>
      <c r="D503" t="s">
        <v>1153</v>
      </c>
      <c r="E503">
        <v>2.4</v>
      </c>
      <c r="F503">
        <v>4</v>
      </c>
      <c r="G503" t="s">
        <v>1177</v>
      </c>
      <c r="H503" t="s">
        <v>1180</v>
      </c>
      <c r="I503">
        <v>7.8</v>
      </c>
      <c r="J503">
        <v>36</v>
      </c>
    </row>
    <row r="504" spans="1:10" x14ac:dyDescent="0.25">
      <c r="A504" t="s">
        <v>512</v>
      </c>
      <c r="B504" t="s">
        <v>595</v>
      </c>
      <c r="C504" t="s">
        <v>1100</v>
      </c>
      <c r="D504" t="s">
        <v>1157</v>
      </c>
      <c r="E504">
        <v>2.5</v>
      </c>
      <c r="F504">
        <v>4</v>
      </c>
      <c r="G504" t="s">
        <v>1169</v>
      </c>
      <c r="H504" t="s">
        <v>1180</v>
      </c>
      <c r="I504">
        <v>6.2</v>
      </c>
      <c r="J504">
        <v>46</v>
      </c>
    </row>
    <row r="505" spans="1:10" x14ac:dyDescent="0.25">
      <c r="A505" t="s">
        <v>513</v>
      </c>
      <c r="B505" t="s">
        <v>595</v>
      </c>
      <c r="C505" t="s">
        <v>1101</v>
      </c>
      <c r="D505" t="s">
        <v>1156</v>
      </c>
      <c r="E505">
        <v>1.6</v>
      </c>
      <c r="F505">
        <v>3</v>
      </c>
      <c r="G505" t="s">
        <v>1168</v>
      </c>
      <c r="H505" t="s">
        <v>1032</v>
      </c>
      <c r="I505">
        <v>10.5</v>
      </c>
      <c r="J505">
        <v>27</v>
      </c>
    </row>
    <row r="506" spans="1:10" x14ac:dyDescent="0.25">
      <c r="A506" t="s">
        <v>514</v>
      </c>
      <c r="B506" t="s">
        <v>595</v>
      </c>
      <c r="C506" t="s">
        <v>1102</v>
      </c>
      <c r="D506" t="s">
        <v>1155</v>
      </c>
      <c r="E506">
        <v>3</v>
      </c>
      <c r="F506">
        <v>6</v>
      </c>
      <c r="G506" t="s">
        <v>1168</v>
      </c>
      <c r="H506" t="s">
        <v>1032</v>
      </c>
      <c r="I506">
        <v>9.1</v>
      </c>
      <c r="J506">
        <v>31</v>
      </c>
    </row>
    <row r="507" spans="1:10" x14ac:dyDescent="0.25">
      <c r="A507" t="s">
        <v>515</v>
      </c>
      <c r="B507" t="s">
        <v>595</v>
      </c>
      <c r="C507" t="s">
        <v>1103</v>
      </c>
      <c r="D507" t="s">
        <v>1154</v>
      </c>
      <c r="E507">
        <v>2.4</v>
      </c>
      <c r="F507">
        <v>4</v>
      </c>
      <c r="G507" t="s">
        <v>1177</v>
      </c>
      <c r="H507" t="s">
        <v>1032</v>
      </c>
      <c r="I507">
        <v>9.6999999999999993</v>
      </c>
      <c r="J507">
        <v>29</v>
      </c>
    </row>
    <row r="508" spans="1:10" x14ac:dyDescent="0.25">
      <c r="A508" t="s">
        <v>516</v>
      </c>
      <c r="B508" t="s">
        <v>595</v>
      </c>
      <c r="C508" t="s">
        <v>1104</v>
      </c>
      <c r="D508" t="s">
        <v>1151</v>
      </c>
      <c r="E508">
        <v>2.4</v>
      </c>
      <c r="F508">
        <v>4</v>
      </c>
      <c r="G508" t="s">
        <v>1168</v>
      </c>
      <c r="H508" t="s">
        <v>1180</v>
      </c>
      <c r="I508">
        <v>10.7</v>
      </c>
      <c r="J508">
        <v>26</v>
      </c>
    </row>
    <row r="509" spans="1:10" x14ac:dyDescent="0.25">
      <c r="A509" t="s">
        <v>517</v>
      </c>
      <c r="B509" t="s">
        <v>595</v>
      </c>
      <c r="C509" t="s">
        <v>1105</v>
      </c>
      <c r="D509" t="s">
        <v>1151</v>
      </c>
      <c r="E509">
        <v>2.4</v>
      </c>
      <c r="F509">
        <v>4</v>
      </c>
      <c r="G509" t="s">
        <v>1168</v>
      </c>
      <c r="H509" t="s">
        <v>1180</v>
      </c>
      <c r="I509">
        <v>10</v>
      </c>
      <c r="J509">
        <v>28</v>
      </c>
    </row>
    <row r="510" spans="1:10" x14ac:dyDescent="0.25">
      <c r="A510" t="s">
        <v>518</v>
      </c>
      <c r="B510" t="s">
        <v>595</v>
      </c>
      <c r="C510" t="s">
        <v>1106</v>
      </c>
      <c r="D510" t="s">
        <v>1151</v>
      </c>
      <c r="E510">
        <v>2.5</v>
      </c>
      <c r="F510">
        <v>4</v>
      </c>
      <c r="G510" t="s">
        <v>1178</v>
      </c>
      <c r="H510" t="s">
        <v>1180</v>
      </c>
      <c r="I510">
        <v>7</v>
      </c>
      <c r="J510">
        <v>40</v>
      </c>
    </row>
    <row r="511" spans="1:10" x14ac:dyDescent="0.25">
      <c r="A511" t="s">
        <v>519</v>
      </c>
      <c r="B511" t="s">
        <v>595</v>
      </c>
      <c r="C511" t="s">
        <v>1107</v>
      </c>
      <c r="D511" t="s">
        <v>1151</v>
      </c>
      <c r="E511">
        <v>2.4</v>
      </c>
      <c r="F511">
        <v>4</v>
      </c>
      <c r="G511" t="s">
        <v>1178</v>
      </c>
      <c r="H511" t="s">
        <v>1180</v>
      </c>
      <c r="I511">
        <v>8.8000000000000007</v>
      </c>
      <c r="J511">
        <v>32</v>
      </c>
    </row>
    <row r="512" spans="1:10" x14ac:dyDescent="0.25">
      <c r="A512" t="s">
        <v>520</v>
      </c>
      <c r="B512" t="s">
        <v>595</v>
      </c>
      <c r="C512" t="s">
        <v>1108</v>
      </c>
      <c r="D512" t="s">
        <v>1150</v>
      </c>
      <c r="E512">
        <v>2.4</v>
      </c>
      <c r="F512">
        <v>4</v>
      </c>
      <c r="G512" t="s">
        <v>1168</v>
      </c>
      <c r="H512" t="s">
        <v>1180</v>
      </c>
      <c r="I512">
        <v>9.9</v>
      </c>
      <c r="J512">
        <v>29</v>
      </c>
    </row>
    <row r="513" spans="1:10" x14ac:dyDescent="0.25">
      <c r="A513" t="s">
        <v>521</v>
      </c>
      <c r="B513" t="s">
        <v>595</v>
      </c>
      <c r="C513" t="s">
        <v>1109</v>
      </c>
      <c r="D513" t="s">
        <v>1151</v>
      </c>
      <c r="E513">
        <v>2.5</v>
      </c>
      <c r="F513">
        <v>4</v>
      </c>
      <c r="G513" t="s">
        <v>1169</v>
      </c>
      <c r="H513" t="s">
        <v>1180</v>
      </c>
      <c r="I513">
        <v>6.7</v>
      </c>
      <c r="J513">
        <v>42</v>
      </c>
    </row>
    <row r="514" spans="1:10" x14ac:dyDescent="0.25">
      <c r="A514" t="s">
        <v>522</v>
      </c>
      <c r="B514" t="s">
        <v>595</v>
      </c>
      <c r="C514" t="s">
        <v>1110</v>
      </c>
      <c r="D514" t="s">
        <v>1151</v>
      </c>
      <c r="E514">
        <v>2.5</v>
      </c>
      <c r="F514">
        <v>4</v>
      </c>
      <c r="G514" t="s">
        <v>1169</v>
      </c>
      <c r="H514" t="s">
        <v>1180</v>
      </c>
      <c r="I514">
        <v>6.7</v>
      </c>
      <c r="J514">
        <v>42</v>
      </c>
    </row>
    <row r="515" spans="1:10" x14ac:dyDescent="0.25">
      <c r="A515" t="s">
        <v>523</v>
      </c>
      <c r="B515" t="s">
        <v>595</v>
      </c>
      <c r="C515" t="s">
        <v>1111</v>
      </c>
      <c r="D515" t="s">
        <v>1151</v>
      </c>
      <c r="E515">
        <v>2.4</v>
      </c>
      <c r="F515">
        <v>4</v>
      </c>
      <c r="G515" t="s">
        <v>1168</v>
      </c>
      <c r="H515" t="s">
        <v>1032</v>
      </c>
      <c r="I515">
        <v>10.1</v>
      </c>
      <c r="J515">
        <v>28</v>
      </c>
    </row>
    <row r="516" spans="1:10" x14ac:dyDescent="0.25">
      <c r="A516" t="s">
        <v>524</v>
      </c>
      <c r="B516" t="s">
        <v>595</v>
      </c>
      <c r="C516" t="s">
        <v>1112</v>
      </c>
      <c r="D516" t="s">
        <v>1153</v>
      </c>
      <c r="E516">
        <v>2</v>
      </c>
      <c r="F516">
        <v>4</v>
      </c>
      <c r="G516" t="s">
        <v>1169</v>
      </c>
      <c r="H516" t="s">
        <v>1180</v>
      </c>
      <c r="I516">
        <v>4.8</v>
      </c>
      <c r="J516">
        <v>59</v>
      </c>
    </row>
    <row r="517" spans="1:10" x14ac:dyDescent="0.25">
      <c r="A517" t="s">
        <v>525</v>
      </c>
      <c r="B517" t="s">
        <v>595</v>
      </c>
      <c r="C517" t="s">
        <v>1113</v>
      </c>
      <c r="D517" t="s">
        <v>1150</v>
      </c>
      <c r="E517">
        <v>2.5</v>
      </c>
      <c r="F517">
        <v>4</v>
      </c>
      <c r="G517" t="s">
        <v>1168</v>
      </c>
      <c r="H517" t="s">
        <v>1180</v>
      </c>
      <c r="I517">
        <v>8.5</v>
      </c>
      <c r="J517">
        <v>33</v>
      </c>
    </row>
    <row r="518" spans="1:10" x14ac:dyDescent="0.25">
      <c r="A518" t="s">
        <v>526</v>
      </c>
      <c r="B518" t="s">
        <v>595</v>
      </c>
      <c r="C518" t="s">
        <v>1114</v>
      </c>
      <c r="D518" t="s">
        <v>1150</v>
      </c>
      <c r="E518">
        <v>2.5</v>
      </c>
      <c r="F518">
        <v>4</v>
      </c>
      <c r="G518" t="s">
        <v>1168</v>
      </c>
      <c r="H518" t="s">
        <v>1180</v>
      </c>
      <c r="I518">
        <v>8</v>
      </c>
      <c r="J518">
        <v>35</v>
      </c>
    </row>
    <row r="519" spans="1:10" x14ac:dyDescent="0.25">
      <c r="A519" t="s">
        <v>527</v>
      </c>
      <c r="B519" t="s">
        <v>595</v>
      </c>
      <c r="C519" t="s">
        <v>1115</v>
      </c>
      <c r="D519" t="s">
        <v>1150</v>
      </c>
      <c r="E519">
        <v>2.5</v>
      </c>
      <c r="F519">
        <v>4</v>
      </c>
      <c r="G519" t="s">
        <v>1168</v>
      </c>
      <c r="H519" t="s">
        <v>1180</v>
      </c>
      <c r="I519">
        <v>7.9</v>
      </c>
      <c r="J519">
        <v>36</v>
      </c>
    </row>
    <row r="520" spans="1:10" x14ac:dyDescent="0.25">
      <c r="A520" t="s">
        <v>528</v>
      </c>
      <c r="B520" t="s">
        <v>595</v>
      </c>
      <c r="C520" t="s">
        <v>1116</v>
      </c>
      <c r="D520" t="s">
        <v>1150</v>
      </c>
      <c r="E520">
        <v>2.5</v>
      </c>
      <c r="F520">
        <v>4</v>
      </c>
      <c r="G520" t="s">
        <v>1169</v>
      </c>
      <c r="H520" t="s">
        <v>1180</v>
      </c>
      <c r="I520">
        <v>6</v>
      </c>
      <c r="J520">
        <v>47</v>
      </c>
    </row>
    <row r="521" spans="1:10" x14ac:dyDescent="0.25">
      <c r="A521" t="s">
        <v>529</v>
      </c>
      <c r="B521" t="s">
        <v>595</v>
      </c>
      <c r="C521" t="s">
        <v>1117</v>
      </c>
      <c r="D521" t="s">
        <v>1150</v>
      </c>
      <c r="E521">
        <v>2.5</v>
      </c>
      <c r="F521">
        <v>4</v>
      </c>
      <c r="G521" t="s">
        <v>1169</v>
      </c>
      <c r="H521" t="s">
        <v>1180</v>
      </c>
      <c r="I521">
        <v>6.4</v>
      </c>
      <c r="J521">
        <v>44</v>
      </c>
    </row>
    <row r="522" spans="1:10" x14ac:dyDescent="0.25">
      <c r="A522" t="s">
        <v>530</v>
      </c>
      <c r="B522" t="s">
        <v>595</v>
      </c>
      <c r="C522" t="s">
        <v>1118</v>
      </c>
      <c r="D522" t="s">
        <v>1151</v>
      </c>
      <c r="E522">
        <v>3.4</v>
      </c>
      <c r="F522">
        <v>6</v>
      </c>
      <c r="G522" t="s">
        <v>1164</v>
      </c>
      <c r="H522" t="s">
        <v>1180</v>
      </c>
      <c r="I522">
        <v>11.7</v>
      </c>
      <c r="J522">
        <v>24</v>
      </c>
    </row>
    <row r="523" spans="1:10" x14ac:dyDescent="0.25">
      <c r="A523" t="s">
        <v>531</v>
      </c>
      <c r="B523" t="s">
        <v>595</v>
      </c>
      <c r="C523" t="s">
        <v>1119</v>
      </c>
      <c r="D523" t="s">
        <v>1160</v>
      </c>
      <c r="E523">
        <v>2.5</v>
      </c>
      <c r="F523">
        <v>4</v>
      </c>
      <c r="G523" t="s">
        <v>1169</v>
      </c>
      <c r="H523" t="s">
        <v>1180</v>
      </c>
      <c r="I523">
        <v>6.6</v>
      </c>
      <c r="J523">
        <v>43</v>
      </c>
    </row>
    <row r="524" spans="1:10" x14ac:dyDescent="0.25">
      <c r="A524" t="s">
        <v>532</v>
      </c>
      <c r="B524" t="s">
        <v>595</v>
      </c>
      <c r="C524" t="s">
        <v>1120</v>
      </c>
      <c r="D524" t="s">
        <v>1160</v>
      </c>
      <c r="E524">
        <v>2.5</v>
      </c>
      <c r="F524">
        <v>4</v>
      </c>
      <c r="G524" t="s">
        <v>1169</v>
      </c>
      <c r="H524" t="s">
        <v>1180</v>
      </c>
      <c r="I524">
        <v>6.8</v>
      </c>
      <c r="J524">
        <v>42</v>
      </c>
    </row>
    <row r="525" spans="1:10" x14ac:dyDescent="0.25">
      <c r="A525" t="s">
        <v>533</v>
      </c>
      <c r="B525" t="s">
        <v>595</v>
      </c>
      <c r="C525" t="s">
        <v>1121</v>
      </c>
      <c r="D525" t="s">
        <v>1161</v>
      </c>
      <c r="E525">
        <v>2.4</v>
      </c>
      <c r="F525">
        <v>4</v>
      </c>
      <c r="G525" t="s">
        <v>1168</v>
      </c>
      <c r="H525" t="s">
        <v>1180</v>
      </c>
      <c r="I525">
        <v>11.2</v>
      </c>
      <c r="J525">
        <v>25</v>
      </c>
    </row>
    <row r="526" spans="1:10" x14ac:dyDescent="0.25">
      <c r="A526" t="s">
        <v>534</v>
      </c>
      <c r="B526" t="s">
        <v>595</v>
      </c>
      <c r="C526" t="s">
        <v>1122</v>
      </c>
      <c r="D526" t="s">
        <v>1161</v>
      </c>
      <c r="E526">
        <v>2.4</v>
      </c>
      <c r="F526">
        <v>4</v>
      </c>
      <c r="G526" t="s">
        <v>1168</v>
      </c>
      <c r="H526" t="s">
        <v>1180</v>
      </c>
      <c r="I526">
        <v>11.4</v>
      </c>
      <c r="J526">
        <v>25</v>
      </c>
    </row>
    <row r="527" spans="1:10" x14ac:dyDescent="0.25">
      <c r="A527" t="s">
        <v>535</v>
      </c>
      <c r="B527" t="s">
        <v>595</v>
      </c>
      <c r="C527" t="s">
        <v>1123</v>
      </c>
      <c r="D527" t="s">
        <v>1161</v>
      </c>
      <c r="E527">
        <v>2.4</v>
      </c>
      <c r="F527">
        <v>4</v>
      </c>
      <c r="G527" t="s">
        <v>1163</v>
      </c>
      <c r="H527" t="s">
        <v>1180</v>
      </c>
      <c r="I527">
        <v>11.9</v>
      </c>
      <c r="J527">
        <v>24</v>
      </c>
    </row>
    <row r="528" spans="1:10" x14ac:dyDescent="0.25">
      <c r="A528" t="s">
        <v>536</v>
      </c>
      <c r="B528" t="s">
        <v>595</v>
      </c>
      <c r="C528" t="s">
        <v>1124</v>
      </c>
      <c r="D528" t="s">
        <v>1159</v>
      </c>
      <c r="E528">
        <v>2.4</v>
      </c>
      <c r="F528">
        <v>4</v>
      </c>
      <c r="G528" t="s">
        <v>1168</v>
      </c>
      <c r="H528" t="s">
        <v>1180</v>
      </c>
      <c r="I528">
        <v>10.3</v>
      </c>
      <c r="J528">
        <v>27</v>
      </c>
    </row>
    <row r="529" spans="1:10" x14ac:dyDescent="0.25">
      <c r="A529" t="s">
        <v>537</v>
      </c>
      <c r="B529" t="s">
        <v>595</v>
      </c>
      <c r="C529" t="s">
        <v>1125</v>
      </c>
      <c r="D529" t="s">
        <v>1159</v>
      </c>
      <c r="E529">
        <v>2.4</v>
      </c>
      <c r="F529">
        <v>4</v>
      </c>
      <c r="G529" t="s">
        <v>1168</v>
      </c>
      <c r="H529" t="s">
        <v>1180</v>
      </c>
      <c r="I529">
        <v>10.1</v>
      </c>
      <c r="J529">
        <v>28</v>
      </c>
    </row>
    <row r="530" spans="1:10" x14ac:dyDescent="0.25">
      <c r="A530" t="s">
        <v>538</v>
      </c>
      <c r="B530" t="s">
        <v>595</v>
      </c>
      <c r="C530" t="s">
        <v>1126</v>
      </c>
      <c r="D530" t="s">
        <v>1159</v>
      </c>
      <c r="E530">
        <v>3.4</v>
      </c>
      <c r="F530">
        <v>6</v>
      </c>
      <c r="G530" t="s">
        <v>1164</v>
      </c>
      <c r="H530" t="s">
        <v>1180</v>
      </c>
      <c r="I530">
        <v>12</v>
      </c>
      <c r="J530">
        <v>24</v>
      </c>
    </row>
    <row r="531" spans="1:10" x14ac:dyDescent="0.25">
      <c r="A531" t="s">
        <v>539</v>
      </c>
      <c r="B531" t="s">
        <v>595</v>
      </c>
      <c r="C531" t="s">
        <v>1127</v>
      </c>
      <c r="D531" t="s">
        <v>1159</v>
      </c>
      <c r="E531">
        <v>3.4</v>
      </c>
      <c r="F531">
        <v>6</v>
      </c>
      <c r="G531" t="s">
        <v>1164</v>
      </c>
      <c r="H531" t="s">
        <v>1180</v>
      </c>
      <c r="I531">
        <v>12.4</v>
      </c>
      <c r="J531">
        <v>23</v>
      </c>
    </row>
    <row r="532" spans="1:10" x14ac:dyDescent="0.25">
      <c r="A532" t="s">
        <v>540</v>
      </c>
      <c r="B532" t="s">
        <v>595</v>
      </c>
      <c r="C532" t="s">
        <v>1128</v>
      </c>
      <c r="D532" t="s">
        <v>1159</v>
      </c>
      <c r="E532">
        <v>3.4</v>
      </c>
      <c r="F532">
        <v>6</v>
      </c>
      <c r="G532" t="s">
        <v>1164</v>
      </c>
      <c r="H532" t="s">
        <v>1180</v>
      </c>
      <c r="I532">
        <v>12.2</v>
      </c>
      <c r="J532">
        <v>23</v>
      </c>
    </row>
    <row r="533" spans="1:10" x14ac:dyDescent="0.25">
      <c r="A533" t="s">
        <v>541</v>
      </c>
      <c r="B533" t="s">
        <v>595</v>
      </c>
      <c r="C533" t="s">
        <v>1129</v>
      </c>
      <c r="D533" t="s">
        <v>1159</v>
      </c>
      <c r="E533">
        <v>3.4</v>
      </c>
      <c r="F533">
        <v>6</v>
      </c>
      <c r="G533" t="s">
        <v>1164</v>
      </c>
      <c r="H533" t="s">
        <v>1180</v>
      </c>
      <c r="I533">
        <v>11.7</v>
      </c>
      <c r="J533">
        <v>24</v>
      </c>
    </row>
    <row r="534" spans="1:10" x14ac:dyDescent="0.25">
      <c r="A534" t="s">
        <v>542</v>
      </c>
      <c r="B534" t="s">
        <v>595</v>
      </c>
      <c r="C534" t="s">
        <v>1130</v>
      </c>
      <c r="D534" t="s">
        <v>1159</v>
      </c>
      <c r="E534">
        <v>3.4</v>
      </c>
      <c r="F534">
        <v>6</v>
      </c>
      <c r="G534" t="s">
        <v>1164</v>
      </c>
      <c r="H534" t="s">
        <v>1180</v>
      </c>
      <c r="I534">
        <v>12.3</v>
      </c>
      <c r="J534">
        <v>23</v>
      </c>
    </row>
    <row r="535" spans="1:10" x14ac:dyDescent="0.25">
      <c r="A535" t="s">
        <v>543</v>
      </c>
      <c r="B535" t="s">
        <v>596</v>
      </c>
      <c r="C535" t="s">
        <v>1131</v>
      </c>
      <c r="D535" t="s">
        <v>1150</v>
      </c>
      <c r="E535">
        <v>2</v>
      </c>
      <c r="F535">
        <v>4</v>
      </c>
      <c r="G535" t="s">
        <v>1168</v>
      </c>
      <c r="H535" t="s">
        <v>1180</v>
      </c>
      <c r="I535">
        <v>11.1</v>
      </c>
      <c r="J535">
        <v>25</v>
      </c>
    </row>
    <row r="536" spans="1:10" x14ac:dyDescent="0.25">
      <c r="A536" t="s">
        <v>544</v>
      </c>
      <c r="B536" t="s">
        <v>596</v>
      </c>
      <c r="C536" t="s">
        <v>1132</v>
      </c>
      <c r="D536" t="s">
        <v>1150</v>
      </c>
      <c r="E536">
        <v>2</v>
      </c>
      <c r="F536">
        <v>4</v>
      </c>
      <c r="G536" t="s">
        <v>1168</v>
      </c>
      <c r="H536" t="s">
        <v>1180</v>
      </c>
      <c r="I536">
        <v>11.3</v>
      </c>
      <c r="J536">
        <v>25</v>
      </c>
    </row>
    <row r="537" spans="1:10" x14ac:dyDescent="0.25">
      <c r="A537" t="s">
        <v>545</v>
      </c>
      <c r="B537" t="s">
        <v>596</v>
      </c>
      <c r="C537" t="s">
        <v>1133</v>
      </c>
      <c r="D537" t="s">
        <v>1150</v>
      </c>
      <c r="E537">
        <v>2</v>
      </c>
      <c r="F537">
        <v>4</v>
      </c>
      <c r="G537" t="s">
        <v>1168</v>
      </c>
      <c r="H537" t="s">
        <v>1180</v>
      </c>
      <c r="I537">
        <v>11.5</v>
      </c>
      <c r="J537">
        <v>25</v>
      </c>
    </row>
    <row r="538" spans="1:10" x14ac:dyDescent="0.25">
      <c r="A538" t="s">
        <v>546</v>
      </c>
      <c r="B538" t="s">
        <v>596</v>
      </c>
      <c r="C538" t="s">
        <v>1134</v>
      </c>
      <c r="D538" t="s">
        <v>1150</v>
      </c>
      <c r="E538">
        <v>2</v>
      </c>
      <c r="F538">
        <v>4</v>
      </c>
      <c r="G538" t="s">
        <v>1168</v>
      </c>
      <c r="H538" t="s">
        <v>1180</v>
      </c>
      <c r="I538">
        <v>11.1</v>
      </c>
      <c r="J538">
        <v>25</v>
      </c>
    </row>
    <row r="539" spans="1:10" x14ac:dyDescent="0.25">
      <c r="A539" t="s">
        <v>547</v>
      </c>
      <c r="B539" t="s">
        <v>596</v>
      </c>
      <c r="C539" t="s">
        <v>1135</v>
      </c>
      <c r="D539" t="s">
        <v>1152</v>
      </c>
      <c r="E539">
        <v>2</v>
      </c>
      <c r="F539">
        <v>4</v>
      </c>
      <c r="G539" t="s">
        <v>1167</v>
      </c>
      <c r="H539" t="s">
        <v>1180</v>
      </c>
      <c r="I539">
        <v>8.8000000000000007</v>
      </c>
      <c r="J539">
        <v>32</v>
      </c>
    </row>
    <row r="540" spans="1:10" x14ac:dyDescent="0.25">
      <c r="A540" t="s">
        <v>548</v>
      </c>
      <c r="B540" t="s">
        <v>596</v>
      </c>
      <c r="C540" t="s">
        <v>1136</v>
      </c>
      <c r="D540" t="s">
        <v>1152</v>
      </c>
      <c r="E540">
        <v>2</v>
      </c>
      <c r="F540">
        <v>4</v>
      </c>
      <c r="G540" t="s">
        <v>1167</v>
      </c>
      <c r="H540" t="s">
        <v>1032</v>
      </c>
      <c r="I540">
        <v>9.3000000000000007</v>
      </c>
      <c r="J540">
        <v>30</v>
      </c>
    </row>
    <row r="541" spans="1:10" x14ac:dyDescent="0.25">
      <c r="A541" t="s">
        <v>549</v>
      </c>
      <c r="B541" t="s">
        <v>596</v>
      </c>
      <c r="C541" t="s">
        <v>1137</v>
      </c>
      <c r="D541" t="s">
        <v>1152</v>
      </c>
      <c r="E541">
        <v>1.5</v>
      </c>
      <c r="F541">
        <v>4</v>
      </c>
      <c r="G541" t="s">
        <v>1168</v>
      </c>
      <c r="H541" t="s">
        <v>1180</v>
      </c>
      <c r="I541">
        <v>7.4</v>
      </c>
      <c r="J541">
        <v>38</v>
      </c>
    </row>
    <row r="542" spans="1:10" x14ac:dyDescent="0.25">
      <c r="A542" t="s">
        <v>550</v>
      </c>
      <c r="B542" t="s">
        <v>596</v>
      </c>
      <c r="C542" t="s">
        <v>1138</v>
      </c>
      <c r="D542" t="s">
        <v>1152</v>
      </c>
      <c r="E542">
        <v>2</v>
      </c>
      <c r="F542">
        <v>4</v>
      </c>
      <c r="G542" t="s">
        <v>1167</v>
      </c>
      <c r="H542" t="s">
        <v>1180</v>
      </c>
      <c r="I542">
        <v>8.1999999999999993</v>
      </c>
      <c r="J542">
        <v>34</v>
      </c>
    </row>
    <row r="543" spans="1:10" x14ac:dyDescent="0.25">
      <c r="A543" t="s">
        <v>551</v>
      </c>
      <c r="B543" t="s">
        <v>596</v>
      </c>
      <c r="C543" t="s">
        <v>1139</v>
      </c>
      <c r="D543" t="s">
        <v>1150</v>
      </c>
      <c r="E543">
        <v>1.5</v>
      </c>
      <c r="F543">
        <v>4</v>
      </c>
      <c r="G543" t="s">
        <v>1168</v>
      </c>
      <c r="H543" t="s">
        <v>1180</v>
      </c>
      <c r="I543">
        <v>7.6</v>
      </c>
      <c r="J543">
        <v>37</v>
      </c>
    </row>
    <row r="544" spans="1:10" x14ac:dyDescent="0.25">
      <c r="A544" t="s">
        <v>552</v>
      </c>
      <c r="B544" t="s">
        <v>596</v>
      </c>
      <c r="C544" t="s">
        <v>1140</v>
      </c>
      <c r="D544" t="s">
        <v>1150</v>
      </c>
      <c r="E544">
        <v>1.5</v>
      </c>
      <c r="F544">
        <v>4</v>
      </c>
      <c r="G544" t="s">
        <v>1168</v>
      </c>
      <c r="H544" t="s">
        <v>1180</v>
      </c>
      <c r="I544">
        <v>8.4</v>
      </c>
      <c r="J544">
        <v>34</v>
      </c>
    </row>
    <row r="545" spans="1:10" x14ac:dyDescent="0.25">
      <c r="A545" t="s">
        <v>553</v>
      </c>
      <c r="B545" t="s">
        <v>596</v>
      </c>
      <c r="C545" t="s">
        <v>1141</v>
      </c>
      <c r="D545" t="s">
        <v>1150</v>
      </c>
      <c r="E545">
        <v>2</v>
      </c>
      <c r="F545">
        <v>4</v>
      </c>
      <c r="G545" t="s">
        <v>1168</v>
      </c>
      <c r="H545" t="s">
        <v>1180</v>
      </c>
      <c r="I545">
        <v>9.3000000000000007</v>
      </c>
      <c r="J545">
        <v>30</v>
      </c>
    </row>
    <row r="546" spans="1:10" x14ac:dyDescent="0.25">
      <c r="A546" t="s">
        <v>554</v>
      </c>
      <c r="B546" t="s">
        <v>597</v>
      </c>
      <c r="C546" t="s">
        <v>1142</v>
      </c>
      <c r="D546" t="s">
        <v>1152</v>
      </c>
      <c r="E546">
        <v>2</v>
      </c>
      <c r="F546">
        <v>4</v>
      </c>
      <c r="G546" t="s">
        <v>1168</v>
      </c>
      <c r="H546" t="s">
        <v>1032</v>
      </c>
      <c r="I546">
        <v>8.3000000000000007</v>
      </c>
      <c r="J546">
        <v>34</v>
      </c>
    </row>
    <row r="547" spans="1:10" x14ac:dyDescent="0.25">
      <c r="A547" t="s">
        <v>555</v>
      </c>
      <c r="B547" t="s">
        <v>597</v>
      </c>
      <c r="C547" t="s">
        <v>1143</v>
      </c>
      <c r="D547" t="s">
        <v>1153</v>
      </c>
      <c r="E547">
        <v>2</v>
      </c>
      <c r="F547">
        <v>4</v>
      </c>
      <c r="G547" t="s">
        <v>1168</v>
      </c>
      <c r="H547" t="s">
        <v>1032</v>
      </c>
      <c r="I547">
        <v>9.1999999999999993</v>
      </c>
      <c r="J547">
        <v>31</v>
      </c>
    </row>
    <row r="548" spans="1:10" x14ac:dyDescent="0.25">
      <c r="A548" t="s">
        <v>556</v>
      </c>
      <c r="B548" t="s">
        <v>597</v>
      </c>
      <c r="C548" t="s">
        <v>1144</v>
      </c>
      <c r="D548" t="s">
        <v>1157</v>
      </c>
      <c r="E548">
        <v>2</v>
      </c>
      <c r="F548">
        <v>4</v>
      </c>
      <c r="G548" t="s">
        <v>1168</v>
      </c>
      <c r="H548" t="s">
        <v>1032</v>
      </c>
      <c r="I548">
        <v>8.6999999999999993</v>
      </c>
      <c r="J548">
        <v>32</v>
      </c>
    </row>
    <row r="549" spans="1:10" x14ac:dyDescent="0.25">
      <c r="A549" t="s">
        <v>557</v>
      </c>
      <c r="B549" t="s">
        <v>597</v>
      </c>
      <c r="C549" t="s">
        <v>1145</v>
      </c>
      <c r="D549" t="s">
        <v>1158</v>
      </c>
      <c r="E549">
        <v>2</v>
      </c>
      <c r="F549">
        <v>4</v>
      </c>
      <c r="G549" t="s">
        <v>1168</v>
      </c>
      <c r="H549" t="s">
        <v>1032</v>
      </c>
      <c r="I549">
        <v>9.5</v>
      </c>
      <c r="J549">
        <v>30</v>
      </c>
    </row>
    <row r="550" spans="1:10" x14ac:dyDescent="0.25">
      <c r="A550" t="s">
        <v>558</v>
      </c>
      <c r="B550" t="s">
        <v>597</v>
      </c>
      <c r="C550" t="s">
        <v>1146</v>
      </c>
      <c r="D550" t="s">
        <v>1150</v>
      </c>
      <c r="E550">
        <v>2</v>
      </c>
      <c r="F550">
        <v>4</v>
      </c>
      <c r="G550" t="s">
        <v>1168</v>
      </c>
      <c r="H550" t="s">
        <v>1032</v>
      </c>
      <c r="I550">
        <v>9.1</v>
      </c>
      <c r="J550">
        <v>31</v>
      </c>
    </row>
    <row r="551" spans="1:10" x14ac:dyDescent="0.25">
      <c r="A551" t="s">
        <v>559</v>
      </c>
      <c r="B551" t="s">
        <v>597</v>
      </c>
      <c r="C551" t="s">
        <v>1147</v>
      </c>
      <c r="D551" t="s">
        <v>1150</v>
      </c>
      <c r="E551">
        <v>2</v>
      </c>
      <c r="F551">
        <v>4</v>
      </c>
      <c r="G551" t="s">
        <v>1168</v>
      </c>
      <c r="H551" t="s">
        <v>1032</v>
      </c>
      <c r="I551">
        <v>9</v>
      </c>
      <c r="J551">
        <v>31</v>
      </c>
    </row>
    <row r="552" spans="1:10" x14ac:dyDescent="0.25">
      <c r="A552" t="s">
        <v>560</v>
      </c>
      <c r="B552" t="s">
        <v>597</v>
      </c>
      <c r="C552" t="s">
        <v>1148</v>
      </c>
      <c r="D552" t="s">
        <v>1151</v>
      </c>
      <c r="E552">
        <v>2</v>
      </c>
      <c r="F552">
        <v>4</v>
      </c>
      <c r="G552" t="s">
        <v>1168</v>
      </c>
      <c r="H552" t="s">
        <v>1032</v>
      </c>
      <c r="I552">
        <v>10.4</v>
      </c>
      <c r="J552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0"/>
  <sheetViews>
    <sheetView tabSelected="1" workbookViewId="0">
      <selection activeCell="B6" sqref="B6"/>
    </sheetView>
  </sheetViews>
  <sheetFormatPr defaultRowHeight="15" x14ac:dyDescent="0.25"/>
  <cols>
    <col min="1" max="1" width="35.7109375" customWidth="1"/>
    <col min="2" max="2" width="34.42578125" customWidth="1"/>
    <col min="3" max="3" width="10.7109375" customWidth="1"/>
  </cols>
  <sheetData>
    <row r="1" spans="1:3" x14ac:dyDescent="0.25">
      <c r="A1" s="2" t="s">
        <v>1182</v>
      </c>
    </row>
    <row r="3" spans="1:3" x14ac:dyDescent="0.25">
      <c r="A3" s="2" t="s">
        <v>1183</v>
      </c>
    </row>
    <row r="4" spans="1:3" x14ac:dyDescent="0.25">
      <c r="A4" s="2" t="s">
        <v>1184</v>
      </c>
      <c r="B4" s="2" t="s">
        <v>1185</v>
      </c>
      <c r="C4" s="2" t="s">
        <v>1186</v>
      </c>
    </row>
    <row r="5" spans="1:3" x14ac:dyDescent="0.25">
      <c r="A5" t="s">
        <v>1187</v>
      </c>
      <c r="B5">
        <v>5000</v>
      </c>
      <c r="C5" t="s">
        <v>1188</v>
      </c>
    </row>
    <row r="6" spans="1:3" x14ac:dyDescent="0.25">
      <c r="A6" t="s">
        <v>1189</v>
      </c>
      <c r="B6" t="s">
        <v>530</v>
      </c>
    </row>
    <row r="7" spans="1:3" x14ac:dyDescent="0.25">
      <c r="A7" t="s">
        <v>1190</v>
      </c>
      <c r="B7" t="s">
        <v>528</v>
      </c>
    </row>
    <row r="8" spans="1:3" x14ac:dyDescent="0.25">
      <c r="A8" t="s">
        <v>1191</v>
      </c>
      <c r="B8">
        <f>VLOOKUP(B6, '2025 Fuel Data'!A:J, 9, FALSE)</f>
        <v>11.7</v>
      </c>
      <c r="C8" t="s">
        <v>1192</v>
      </c>
    </row>
    <row r="9" spans="1:3" x14ac:dyDescent="0.25">
      <c r="A9" t="s">
        <v>1193</v>
      </c>
      <c r="B9">
        <f>VLOOKUP(B7, '2025 Fuel Data'!A:J, 9, FALSE)</f>
        <v>6</v>
      </c>
      <c r="C9" t="s">
        <v>1192</v>
      </c>
    </row>
    <row r="10" spans="1:3" x14ac:dyDescent="0.25">
      <c r="A10" t="s">
        <v>1194</v>
      </c>
      <c r="B10">
        <v>5</v>
      </c>
      <c r="C10" t="s">
        <v>1195</v>
      </c>
    </row>
    <row r="11" spans="1:3" x14ac:dyDescent="0.25">
      <c r="A11" t="s">
        <v>1196</v>
      </c>
      <c r="B11">
        <v>4.4900000000000002E-2</v>
      </c>
      <c r="C11" t="s">
        <v>1197</v>
      </c>
    </row>
    <row r="12" spans="1:3" x14ac:dyDescent="0.25">
      <c r="A12" t="s">
        <v>1198</v>
      </c>
      <c r="B12">
        <v>15000</v>
      </c>
      <c r="C12" t="s">
        <v>1199</v>
      </c>
    </row>
    <row r="13" spans="1:3" x14ac:dyDescent="0.25">
      <c r="A13" t="s">
        <v>1200</v>
      </c>
      <c r="B13">
        <v>1.65</v>
      </c>
      <c r="C13" t="s">
        <v>1201</v>
      </c>
    </row>
    <row r="15" spans="1:3" x14ac:dyDescent="0.25">
      <c r="A15" s="2" t="s">
        <v>1202</v>
      </c>
    </row>
    <row r="16" spans="1:3" x14ac:dyDescent="0.25">
      <c r="A16" s="2" t="s">
        <v>1184</v>
      </c>
      <c r="B16" s="2" t="s">
        <v>1185</v>
      </c>
    </row>
    <row r="17" spans="1:2" x14ac:dyDescent="0.25">
      <c r="A17" t="s">
        <v>1203</v>
      </c>
      <c r="B17">
        <f>(B8/100)*B12</f>
        <v>1755</v>
      </c>
    </row>
    <row r="18" spans="1:2" x14ac:dyDescent="0.25">
      <c r="A18" t="s">
        <v>1204</v>
      </c>
      <c r="B18">
        <f>(B9/100)*B12</f>
        <v>900</v>
      </c>
    </row>
    <row r="19" spans="1:2" x14ac:dyDescent="0.25">
      <c r="A19" t="s">
        <v>1205</v>
      </c>
      <c r="B19">
        <f>B17-B18</f>
        <v>855</v>
      </c>
    </row>
    <row r="20" spans="1:2" x14ac:dyDescent="0.25">
      <c r="A20" t="s">
        <v>1206</v>
      </c>
      <c r="B20">
        <f>B19*B13</f>
        <v>1410.75</v>
      </c>
    </row>
    <row r="21" spans="1:2" x14ac:dyDescent="0.25">
      <c r="A21" t="s">
        <v>1207</v>
      </c>
      <c r="B21">
        <f>B20/12</f>
        <v>117.5625</v>
      </c>
    </row>
    <row r="22" spans="1:2" x14ac:dyDescent="0.25">
      <c r="A22" t="s">
        <v>1208</v>
      </c>
      <c r="B22" s="3">
        <f>PMT(B11/12, B10*12, -B5)</f>
        <v>93.192362295594648</v>
      </c>
    </row>
    <row r="23" spans="1:2" x14ac:dyDescent="0.25">
      <c r="A23" t="s">
        <v>1209</v>
      </c>
      <c r="B23" s="3">
        <f>B22*12</f>
        <v>1118.3083475471358</v>
      </c>
    </row>
    <row r="24" spans="1:2" x14ac:dyDescent="0.25">
      <c r="A24" t="s">
        <v>1210</v>
      </c>
      <c r="B24" s="3">
        <f>B20-B23</f>
        <v>292.44165245286422</v>
      </c>
    </row>
    <row r="26" spans="1:2" x14ac:dyDescent="0.25">
      <c r="A26" s="2" t="s">
        <v>1211</v>
      </c>
    </row>
    <row r="27" spans="1:2" x14ac:dyDescent="0.25">
      <c r="A27" s="2" t="s">
        <v>1184</v>
      </c>
      <c r="B27" s="2" t="s">
        <v>1185</v>
      </c>
    </row>
    <row r="28" spans="1:2" x14ac:dyDescent="0.25">
      <c r="A28" t="s">
        <v>1212</v>
      </c>
      <c r="B28" s="3">
        <f>PV(B11/12, B10*12, -B21)</f>
        <v>6307.5179716503144</v>
      </c>
    </row>
    <row r="29" spans="1:2" x14ac:dyDescent="0.25">
      <c r="A29" t="s">
        <v>1213</v>
      </c>
      <c r="B29" s="4">
        <f>(B23/B13)/((B8-B9)/100)</f>
        <v>11890.572541702668</v>
      </c>
    </row>
    <row r="30" spans="1:2" x14ac:dyDescent="0.25">
      <c r="A30" t="s">
        <v>1214</v>
      </c>
      <c r="B30" s="3">
        <f>IF(B19&gt;0, B23/B19, "N/A")</f>
        <v>1.3079629795872934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'2025 Fuel Data'!$A$2:$A$552</xm:f>
          </x14:formula1>
          <xm:sqref>B6:B7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2025 Fuel Data</vt:lpstr>
      <vt:lpstr>Break-Even Calculator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Sean Mullin</cp:lastModifiedBy>
  <dcterms:created xsi:type="dcterms:W3CDTF">2026-05-19T01:17:02Z</dcterms:created>
  <dcterms:modified xsi:type="dcterms:W3CDTF">2026-05-19T02:21:16Z</dcterms:modified>
</cp:coreProperties>
</file>